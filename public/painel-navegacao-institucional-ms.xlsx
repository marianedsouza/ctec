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osf\Desktop\PROJETO RNDS\"/>
    </mc:Choice>
  </mc:AlternateContent>
  <bookViews>
    <workbookView xWindow="28680" yWindow="-120" windowWidth="29040" windowHeight="15840" activeTab="5"/>
  </bookViews>
  <sheets>
    <sheet name="1. Domínio Institucional" sheetId="1" r:id="rId1"/>
    <sheet name="1.1" sheetId="2" r:id="rId2"/>
    <sheet name="1.2" sheetId="5" r:id="rId3"/>
    <sheet name="1.3" sheetId="6" r:id="rId4"/>
    <sheet name="1.4" sheetId="7" r:id="rId5"/>
    <sheet name="1.5" sheetId="8" r:id="rId6"/>
    <sheet name="Lista de atividades" sheetId="4" state="hidden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C2" i="7"/>
  <c r="C2" i="6"/>
  <c r="C2" i="5"/>
  <c r="E2" i="4" a="1"/>
  <c r="E2" i="4" s="1"/>
  <c r="F1198" i="4" s="1" a="1"/>
  <c r="F1198" i="4" s="1"/>
  <c r="D2" i="4" a="1"/>
  <c r="D2" i="4" s="1"/>
  <c r="F899" i="4" s="1" a="1"/>
  <c r="F899" i="4" s="1"/>
  <c r="C2" i="4" a="1"/>
  <c r="C2" i="4" s="1"/>
  <c r="F600" i="4" s="1" a="1"/>
  <c r="F600" i="4" s="1"/>
  <c r="B2" i="4" a="1"/>
  <c r="B2" i="4" s="1"/>
  <c r="F301" i="4" s="1" a="1"/>
  <c r="F301" i="4" s="1"/>
  <c r="A2" i="4" a="1"/>
  <c r="A2" i="4" s="1"/>
  <c r="F2" i="4" s="1" a="1"/>
  <c r="F2" i="4" s="1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E15" i="4"/>
  <c r="F1211" i="4" s="1"/>
  <c r="E14" i="4"/>
  <c r="F1210" i="4" s="1"/>
  <c r="E13" i="4"/>
  <c r="F1209" i="4" s="1"/>
  <c r="E12" i="4"/>
  <c r="F1208" i="4" s="1"/>
  <c r="E11" i="4"/>
  <c r="F1207" i="4" s="1"/>
  <c r="E10" i="4"/>
  <c r="F1206" i="4" s="1"/>
  <c r="E9" i="4"/>
  <c r="F1205" i="4" s="1"/>
  <c r="E8" i="4"/>
  <c r="F1204" i="4" s="1"/>
  <c r="E7" i="4"/>
  <c r="F1203" i="4" s="1"/>
  <c r="E6" i="4"/>
  <c r="F1202" i="4" s="1"/>
  <c r="E5" i="4"/>
  <c r="F1201" i="4" s="1"/>
  <c r="E4" i="4"/>
  <c r="F1200" i="4" s="1"/>
  <c r="E3" i="4"/>
  <c r="F1199" i="4" s="1"/>
  <c r="D15" i="4"/>
  <c r="F912" i="4" s="1"/>
  <c r="D14" i="4"/>
  <c r="F911" i="4" s="1"/>
  <c r="D13" i="4"/>
  <c r="F910" i="4" s="1"/>
  <c r="D12" i="4"/>
  <c r="F909" i="4" s="1"/>
  <c r="D11" i="4"/>
  <c r="F908" i="4" s="1"/>
  <c r="D10" i="4"/>
  <c r="F907" i="4" s="1"/>
  <c r="D9" i="4"/>
  <c r="F906" i="4" s="1"/>
  <c r="D8" i="4"/>
  <c r="F905" i="4" s="1"/>
  <c r="D7" i="4"/>
  <c r="F904" i="4" s="1"/>
  <c r="D6" i="4"/>
  <c r="F903" i="4" s="1"/>
  <c r="D5" i="4"/>
  <c r="F902" i="4" s="1"/>
  <c r="D4" i="4"/>
  <c r="F901" i="4" s="1"/>
  <c r="D3" i="4"/>
  <c r="F900" i="4" s="1"/>
  <c r="C15" i="4"/>
  <c r="F613" i="4" s="1"/>
  <c r="C14" i="4"/>
  <c r="F612" i="4" s="1"/>
  <c r="C13" i="4"/>
  <c r="F611" i="4" s="1"/>
  <c r="C12" i="4"/>
  <c r="F610" i="4" s="1"/>
  <c r="C11" i="4"/>
  <c r="F609" i="4" s="1"/>
  <c r="C10" i="4"/>
  <c r="F608" i="4" s="1"/>
  <c r="C9" i="4"/>
  <c r="F607" i="4" s="1"/>
  <c r="C8" i="4"/>
  <c r="F606" i="4" s="1"/>
  <c r="C7" i="4"/>
  <c r="F605" i="4" s="1"/>
  <c r="C6" i="4"/>
  <c r="F604" i="4" s="1"/>
  <c r="C5" i="4"/>
  <c r="F603" i="4" s="1"/>
  <c r="C4" i="4"/>
  <c r="F602" i="4" s="1"/>
  <c r="C3" i="4"/>
  <c r="F601" i="4" s="1"/>
  <c r="B9" i="4"/>
  <c r="F308" i="4" s="1"/>
  <c r="A15" i="4"/>
  <c r="F15" i="4" s="1"/>
  <c r="A14" i="4"/>
  <c r="F14" i="4" s="1"/>
  <c r="A13" i="4"/>
  <c r="F13" i="4" s="1"/>
  <c r="A12" i="4"/>
  <c r="F12" i="4" s="1"/>
  <c r="A11" i="4"/>
  <c r="F11" i="4" s="1"/>
  <c r="A10" i="4"/>
  <c r="F10" i="4" s="1"/>
  <c r="A9" i="4"/>
  <c r="F9" i="4" s="1"/>
  <c r="A8" i="4"/>
  <c r="F8" i="4" s="1"/>
  <c r="A7" i="4"/>
  <c r="F7" i="4" s="1"/>
  <c r="A6" i="4"/>
  <c r="F6" i="4" s="1"/>
  <c r="A5" i="4"/>
  <c r="F5" i="4" s="1"/>
  <c r="A4" i="4"/>
  <c r="F4" i="4" s="1"/>
  <c r="A3" i="4"/>
  <c r="F3" i="4" s="1"/>
  <c r="B8" i="4" l="1"/>
  <c r="F307" i="4" s="1"/>
  <c r="B12" i="4"/>
  <c r="F311" i="4" s="1"/>
  <c r="B11" i="4"/>
  <c r="F310" i="4" s="1"/>
  <c r="B14" i="4"/>
  <c r="F313" i="4" s="1"/>
  <c r="B13" i="4"/>
  <c r="F312" i="4" s="1"/>
  <c r="B15" i="4"/>
  <c r="F314" i="4" s="1"/>
  <c r="B10" i="4"/>
  <c r="F309" i="4" s="1"/>
  <c r="B4" i="4"/>
  <c r="F303" i="4" s="1"/>
  <c r="B5" i="4"/>
  <c r="F304" i="4" s="1"/>
  <c r="B6" i="4"/>
  <c r="F305" i="4" s="1"/>
  <c r="B3" i="4"/>
  <c r="F302" i="4" s="1"/>
  <c r="B7" i="4"/>
  <c r="F306" i="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<sst xmlns="http://schemas.openxmlformats.org/spreadsheetml/2006/main" count="360" uniqueCount="157">
  <si>
    <t>Painel de Navegação</t>
  </si>
  <si>
    <t>1. Domínio Institucional</t>
  </si>
  <si>
    <t>Objetivo estratégico do domínio:</t>
  </si>
  <si>
    <t>Definir</t>
  </si>
  <si>
    <t>Subdomínios</t>
  </si>
  <si>
    <t>Descrição</t>
  </si>
  <si>
    <t xml:space="preserve">1.1 </t>
  </si>
  <si>
    <t>Área/Órgão/Responsável/​Equipe</t>
  </si>
  <si>
    <t>Trata da existência, formalização e relevância da área/órgão responsável pelo projeto, incluindo composição da equipe, responsável designado e contatos. Situações vão de ausência de designação até estrutura reconhecida como estratégica pela alta direção.​</t>
  </si>
  <si>
    <t xml:space="preserve">1.2 </t>
  </si>
  <si>
    <t>Políticas, normativos e guias de boas práticas​</t>
  </si>
  <si>
    <t>Aborda a presença e maturidade de instrumentos como PPSI, PDTI, governança de sistemas e políticas de compartilhamento de dados. Pode variar de inexistência ou desatualização até alinhamento à LGPD e disseminação entre equipes.​</t>
  </si>
  <si>
    <t xml:space="preserve">1.3 </t>
  </si>
  <si>
    <t>Orçamento​</t>
  </si>
  <si>
    <t>Verifica previsão e destinação de recursos financeiros para TI e Saúde Digital. Vai da ausência de previsão até alocação específica para ações da Federalização.​</t>
  </si>
  <si>
    <t xml:space="preserve">1.4 </t>
  </si>
  <si>
    <t>Relações Institucionais​</t>
  </si>
  <si>
    <t>Examina a articulação com CONASS, COSEMS/CONASEMS, municípios e outros órgãos. Evolui de ausência de r elação até parcerias ativas e documentadas para apoiar a Federalização.​</t>
  </si>
  <si>
    <t xml:space="preserve">1.5 </t>
  </si>
  <si>
    <t>Formação e Qualificação Institucional​</t>
  </si>
  <si>
    <t>Foca na estrutura e equipes para capacitação, curadoria, avaliação e desenvolvimento de conteúdos em Saúde Digital. Vai da inexistência de iniciativas até estrutura consolidada com rede de multiplicadores para a Federalização.​</t>
  </si>
  <si>
    <t>1.1 Subdomínio Área/Órgão/Responsável/Equipe</t>
  </si>
  <si>
    <t>Objetivo estratégico:</t>
  </si>
  <si>
    <t>Cenário-alvo do subdomínio:</t>
  </si>
  <si>
    <t>Data de registro</t>
  </si>
  <si>
    <t>Relator</t>
  </si>
  <si>
    <t>Atividade</t>
  </si>
  <si>
    <t>Descrição da atividade</t>
  </si>
  <si>
    <t>Responsável</t>
  </si>
  <si>
    <t>Aprovador</t>
  </si>
  <si>
    <t>Consultado</t>
  </si>
  <si>
    <t>Informado</t>
  </si>
  <si>
    <t>Atividade recorrente</t>
  </si>
  <si>
    <t>Data de início</t>
  </si>
  <si>
    <t>Data final</t>
  </si>
  <si>
    <t>Interrelações</t>
  </si>
  <si>
    <t>Tipo de relação</t>
  </si>
  <si>
    <t>Status</t>
  </si>
  <si>
    <t>Metas</t>
  </si>
  <si>
    <t>Indicadores</t>
  </si>
  <si>
    <t>Observações</t>
  </si>
  <si>
    <t>Antecede</t>
  </si>
  <si>
    <t>Não iniciada</t>
  </si>
  <si>
    <t>Sucede</t>
  </si>
  <si>
    <t>Em execução</t>
  </si>
  <si>
    <t>Simultânea</t>
  </si>
  <si>
    <t>Paralisada</t>
  </si>
  <si>
    <t>Concluída</t>
  </si>
  <si>
    <t>1.2 Políticas, normativos e guias de boas práticas​</t>
  </si>
  <si>
    <t>1.3 Orçamento</t>
  </si>
  <si>
    <t>1.4 Relações Institucionais</t>
  </si>
  <si>
    <t xml:space="preserve">1.5 Formação e Qualificação Institucional </t>
  </si>
  <si>
    <t>Lista de atividades por subdomínio</t>
  </si>
  <si>
    <t>Tabela_Atividades_Consolidada</t>
  </si>
  <si>
    <t>A</t>
  </si>
  <si>
    <t>B</t>
  </si>
  <si>
    <t>C</t>
  </si>
  <si>
    <t>D</t>
  </si>
  <si>
    <t>E</t>
  </si>
  <si>
    <t>28/10/2025</t>
  </si>
  <si>
    <t>Elenito</t>
  </si>
  <si>
    <t>Criação do GT</t>
  </si>
  <si>
    <t>Marcia</t>
  </si>
  <si>
    <t>Gabinete</t>
  </si>
  <si>
    <t>GT estabelecido</t>
  </si>
  <si>
    <t>NA</t>
  </si>
  <si>
    <t>Existem discussões de desenvolvimento da equipe para ajustes da equipe de trabalho com profissionais do juridico</t>
  </si>
  <si>
    <t>Discussão da Elaboração da minuta do instituição do comite</t>
  </si>
  <si>
    <t>Elaborar</t>
  </si>
  <si>
    <t>GT</t>
  </si>
  <si>
    <t>Juridico/Gabinete</t>
  </si>
  <si>
    <t>A publicação da resolução do GT</t>
  </si>
  <si>
    <t>Identificado a necessidade de atualização do COMITE para um GT diante de orientação juridica com base no tempo de trabalho dos envolvido e a válidade da entrega das ações do projeto</t>
  </si>
  <si>
    <t>Formalização do GT</t>
  </si>
  <si>
    <t>Formalização dos representantes para composição do GT</t>
  </si>
  <si>
    <t>Efetuado a discussão para convite de novos membros da LGPD</t>
  </si>
  <si>
    <t>Discussão do preenchimento do documento</t>
  </si>
  <si>
    <t xml:space="preserve">Discução de elaboração e preechimento de documentos de evolução do projeto </t>
  </si>
  <si>
    <t>Definição de uma documenção clara e objetiva das ações do GT para identificação de responsáveis e atividades envolvidas</t>
  </si>
  <si>
    <t>Efetuado a discussão e apresentação de elementos relevantes para conhecimento da equipe sobre as propostas do RNDS para apresentação dos dados e do formato de trabalho para a construção desta estrutura de trabalho e formato dos dados.</t>
  </si>
  <si>
    <t>Publicar</t>
  </si>
  <si>
    <t>Encaminhamento de documento formal para ATE para análise juridica com as demais aréas</t>
  </si>
  <si>
    <t>SSD</t>
  </si>
  <si>
    <t>Juridico/LGPD</t>
  </si>
  <si>
    <t>Efetuando uma análise de modelos para busca de refência de outros estados com plataforma de desenvolvimento semelhantes ao do estado MS</t>
  </si>
  <si>
    <t>29/10/2025</t>
  </si>
  <si>
    <t>Apresentação das entregas ao gabinete e validação da Edelma</t>
  </si>
  <si>
    <t>SIM</t>
  </si>
  <si>
    <t>Apresentação e validação dos mecanismos e processos de atividades</t>
  </si>
  <si>
    <t>Efetuado apresentação inicial ao gabinete para Edelma com indicadores já identificados na reunião da oficina do GT.</t>
  </si>
  <si>
    <t>06/11/2025</t>
  </si>
  <si>
    <t>Definição do Grupo de Trabalho</t>
  </si>
  <si>
    <t>Instituir GT</t>
  </si>
  <si>
    <t xml:space="preserve">Marcia </t>
  </si>
  <si>
    <t>Inventario de Politicas</t>
  </si>
  <si>
    <t>Levantamento de Politicas , adaptação  e /ou criação de politicas</t>
  </si>
  <si>
    <t>SSD/ATE</t>
  </si>
  <si>
    <t>ATE/TI</t>
  </si>
  <si>
    <t>Identificar existencias de politicas</t>
  </si>
  <si>
    <t>Elaborar e /ou revisar politicas</t>
  </si>
  <si>
    <t>Atualizar conforme  LGPD e diretrizes da Saude Digital</t>
  </si>
  <si>
    <t>Politicas Revisadas</t>
  </si>
  <si>
    <t>Documentos Atualizados</t>
  </si>
  <si>
    <t>Produzir manual de orientação sobre uso seguro de dados</t>
  </si>
  <si>
    <t>GT/Comunicação</t>
  </si>
  <si>
    <t>ATE/TI/LGPD</t>
  </si>
  <si>
    <t>Guia Publicado</t>
  </si>
  <si>
    <t>Guia Disponivel internamente</t>
  </si>
  <si>
    <t>Elaborar guia de boas praticas</t>
  </si>
  <si>
    <t>Publicação de Politicas</t>
  </si>
  <si>
    <t>Formalização e Publicação Oficial de politicas</t>
  </si>
  <si>
    <t>SSD/ATE/GAB</t>
  </si>
  <si>
    <t>SES</t>
  </si>
  <si>
    <t>FALSO</t>
  </si>
  <si>
    <t xml:space="preserve">Numero de Politicas </t>
  </si>
  <si>
    <t xml:space="preserve">Formalização concluida </t>
  </si>
  <si>
    <t>Publicação Concluída</t>
  </si>
  <si>
    <t>Regulamentação do GT e Politicas</t>
  </si>
  <si>
    <t>Definir Politicas</t>
  </si>
  <si>
    <t>Definir Orçamento</t>
  </si>
  <si>
    <t>Levantar custos</t>
  </si>
  <si>
    <t>Estimar valores para infraestrutura, sistemas e capacitação</t>
  </si>
  <si>
    <t>GT/SSD</t>
  </si>
  <si>
    <t>Gab</t>
  </si>
  <si>
    <t>Planejamento/GAB</t>
  </si>
  <si>
    <t>GT/GAB</t>
  </si>
  <si>
    <t xml:space="preserve"> Construir planilha orçamentaria</t>
  </si>
  <si>
    <t>levantamento aprovado</t>
  </si>
  <si>
    <t>Inclusão no orçamento</t>
  </si>
  <si>
    <t>SSD/Planejamento</t>
  </si>
  <si>
    <t>Ação orçamentaria criada</t>
  </si>
  <si>
    <t>Incluir no PAS definindo fonte de financiamento</t>
  </si>
  <si>
    <t>Definir Relações Institucionais</t>
  </si>
  <si>
    <t>Identificação de Parceiros</t>
  </si>
  <si>
    <t>Levantamento de Instituições e parceiros</t>
  </si>
  <si>
    <t>GAB</t>
  </si>
  <si>
    <t>Rede de parceiros identificados</t>
  </si>
  <si>
    <t>Apresentação da politicas aos parceiros</t>
  </si>
  <si>
    <t>Apresentar a proposta aos colegiados e canais oficiais</t>
  </si>
  <si>
    <t>Colegiados/Canais Oficiais</t>
  </si>
  <si>
    <t>Divulgação aos parceiros</t>
  </si>
  <si>
    <t>Definir Modelo de  Qualificação</t>
  </si>
  <si>
    <t xml:space="preserve">Levantamento </t>
  </si>
  <si>
    <t>Necessidade de formação e qualificação</t>
  </si>
  <si>
    <t>SES/GT</t>
  </si>
  <si>
    <t>Relatorio Diagnostico</t>
  </si>
  <si>
    <t>Elaborar Plano de Formação</t>
  </si>
  <si>
    <t>ESP/GAB</t>
  </si>
  <si>
    <t>Aprovação do plano</t>
  </si>
  <si>
    <t>publicação em canais oficiais</t>
  </si>
  <si>
    <t>Execução PA</t>
  </si>
  <si>
    <t>De acordo com cronograma estabelecida</t>
  </si>
  <si>
    <t>Plano de Ação( Cronograma e tematica)</t>
  </si>
  <si>
    <t>Recorrente</t>
  </si>
  <si>
    <t xml:space="preserve">areas tecnicas capacitadas </t>
  </si>
  <si>
    <t>percentual de profissionais capacitados</t>
  </si>
  <si>
    <t>Apresentação do pós reunião da oficina do RNDS ao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</si>
</sst>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\-mmm\-yy;@"/>
  </numFmts>
  <fonts count="21"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0"/>
      <color theme="0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8B000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sz val="11"/>
      <color rgb="FF00000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B0000"/>
        <bgColor rgb="FF49564C"/>
      </patternFill>
    </fill>
    <fill>
      <patternFill patternType="solid">
        <fgColor theme="2" tint="-0.14999847407452621"/>
        <bgColor rgb="FF49564C"/>
      </patternFill>
    </fill>
    <fill>
      <patternFill patternType="solid">
        <fgColor rgb="FF8B0000"/>
        <bgColor indexed="64"/>
      </patternFill>
    </fill>
    <fill>
      <patternFill patternType="solid">
        <fgColor theme="2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rgb="FF8B0000"/>
      </left>
      <right/>
      <top style="thin">
        <color rgb="FF8B0000"/>
      </top>
      <bottom style="thin">
        <color rgb="FF8B0000"/>
      </bottom>
      <diagonal/>
    </border>
    <border>
      <left/>
      <right/>
      <top style="thin">
        <color rgb="FF8B0000"/>
      </top>
      <bottom style="thin">
        <color rgb="FF8B0000"/>
      </bottom>
      <diagonal/>
    </border>
    <border>
      <left/>
      <right style="thin">
        <color rgb="FF8B0000"/>
      </right>
      <top style="thin">
        <color rgb="FF8B0000"/>
      </top>
      <bottom style="thin">
        <color rgb="FF8B0000"/>
      </bottom>
      <diagonal/>
    </border>
    <border>
      <left style="thin">
        <color rgb="FF8B0000"/>
      </left>
      <right style="thin">
        <color rgb="FF8B0000"/>
      </right>
      <top style="thin">
        <color rgb="FF8B0000"/>
      </top>
      <bottom/>
      <diagonal/>
    </border>
    <border>
      <left style="thin">
        <color rgb="FF8B0000"/>
      </left>
      <right style="thin">
        <color rgb="FF8B0000"/>
      </right>
      <top/>
      <bottom style="thin">
        <color rgb="FF8B0000"/>
      </bottom>
      <diagonal/>
    </border>
    <border>
      <left style="thin">
        <color rgb="FF8B0000"/>
      </left>
      <right style="thin">
        <color rgb="FF8B0000"/>
      </right>
      <top style="thin">
        <color rgb="FF8B0000"/>
      </top>
      <bottom style="thin">
        <color rgb="FF8B0000"/>
      </bottom>
      <diagonal/>
    </border>
    <border>
      <left style="thin">
        <color rgb="FF8B0000"/>
      </left>
      <right/>
      <top/>
      <bottom/>
      <diagonal/>
    </border>
    <border>
      <left/>
      <right style="thin">
        <color rgb="FFC00000"/>
      </right>
      <top style="thin">
        <color rgb="FF8B0000"/>
      </top>
      <bottom style="thin">
        <color rgb="FF8B0000"/>
      </bottom>
      <diagonal/>
    </border>
    <border>
      <left style="thin">
        <color rgb="FF8B0000"/>
      </left>
      <right style="thin">
        <color rgb="FFC00000"/>
      </right>
      <top style="thin">
        <color rgb="FF8B0000"/>
      </top>
      <bottom/>
      <diagonal/>
    </border>
    <border>
      <left/>
      <right style="thin">
        <color rgb="FFC00000"/>
      </right>
      <top/>
      <bottom/>
      <diagonal/>
    </border>
    <border>
      <left style="thin">
        <color rgb="FF8B0000"/>
      </left>
      <right style="thin">
        <color rgb="FFC00000"/>
      </right>
      <top style="thin">
        <color rgb="FF8B0000"/>
      </top>
      <bottom style="thin">
        <color rgb="FF8B0000"/>
      </bottom>
      <diagonal/>
    </border>
    <border>
      <left style="thin">
        <color rgb="FF8B0000"/>
      </left>
      <right style="thin">
        <color rgb="FFC00000"/>
      </right>
      <top/>
      <bottom style="thin">
        <color rgb="FF8B0000"/>
      </bottom>
      <diagonal/>
    </border>
    <border>
      <left style="thin">
        <color rgb="FF047004"/>
      </left>
      <right style="thin">
        <color rgb="FF047004"/>
      </right>
      <top style="thin">
        <color rgb="FF047004"/>
      </top>
      <bottom style="thin">
        <color rgb="FF047004"/>
      </bottom>
      <diagonal/>
    </border>
    <border>
      <left style="thin">
        <color rgb="FF047004"/>
      </left>
      <right/>
      <top style="thin">
        <color rgb="FF047004"/>
      </top>
      <bottom style="thin">
        <color rgb="FF04700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164" fontId="3" fillId="3" borderId="2" xfId="0" applyNumberFormat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center" vertical="center" wrapText="1"/>
    </xf>
    <xf numFmtId="164" fontId="3" fillId="3" borderId="0" xfId="0" applyNumberFormat="1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center" vertical="center" wrapText="1"/>
    </xf>
    <xf numFmtId="164" fontId="10" fillId="3" borderId="0" xfId="0" applyNumberFormat="1" applyFont="1" applyFill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/>
    </xf>
    <xf numFmtId="164" fontId="14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7" fillId="0" borderId="6" xfId="0" applyFont="1" applyBorder="1"/>
    <xf numFmtId="49" fontId="14" fillId="0" borderId="6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164" fontId="3" fillId="3" borderId="2" xfId="0" applyNumberFormat="1" applyFont="1" applyFill="1" applyBorder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1" fillId="5" borderId="8" xfId="0" applyFont="1" applyFill="1" applyBorder="1"/>
    <xf numFmtId="0" fontId="11" fillId="5" borderId="10" xfId="0" applyFont="1" applyFill="1" applyBorder="1"/>
    <xf numFmtId="0" fontId="13" fillId="5" borderId="11" xfId="0" applyFont="1" applyFill="1" applyBorder="1" applyAlignment="1">
      <alignment horizontal="center" vertical="center" wrapText="1"/>
    </xf>
    <xf numFmtId="49" fontId="14" fillId="0" borderId="12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0" fontId="15" fillId="4" borderId="0" xfId="0" applyFont="1" applyFill="1"/>
    <xf numFmtId="0" fontId="16" fillId="0" borderId="0" xfId="0" applyFont="1"/>
    <xf numFmtId="0" fontId="0" fillId="4" borderId="0" xfId="0" applyFill="1"/>
    <xf numFmtId="0" fontId="17" fillId="3" borderId="2" xfId="0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4" fillId="0" borderId="13" xfId="0" applyNumberFormat="1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/>
    <xf numFmtId="49" fontId="7" fillId="0" borderId="13" xfId="0" applyNumberFormat="1" applyFont="1" applyBorder="1" applyAlignment="1">
      <alignment horizontal="center"/>
    </xf>
    <xf numFmtId="49" fontId="7" fillId="0" borderId="13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12" fillId="0" borderId="0" xfId="0" applyFont="1" applyAlignment="1"/>
    <xf numFmtId="0" fontId="19" fillId="0" borderId="13" xfId="0" applyFont="1" applyBorder="1" applyAlignment="1"/>
    <xf numFmtId="164" fontId="20" fillId="0" borderId="13" xfId="0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164" fontId="19" fillId="0" borderId="13" xfId="0" applyNumberFormat="1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49" fontId="20" fillId="0" borderId="14" xfId="0" applyNumberFormat="1" applyFont="1" applyBorder="1" applyAlignment="1">
      <alignment horizontal="center" vertical="center"/>
    </xf>
    <xf numFmtId="0" fontId="12" fillId="0" borderId="0" xfId="0" applyFont="1" applyAlignment="1">
      <alignment wrapText="1"/>
    </xf>
    <xf numFmtId="49" fontId="14" fillId="0" borderId="5" xfId="0" applyNumberFormat="1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49" fontId="7" fillId="0" borderId="5" xfId="0" applyNumberFormat="1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0" borderId="5" xfId="0" applyNumberFormat="1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 wrapText="1"/>
    </xf>
    <xf numFmtId="49" fontId="14" fillId="0" borderId="12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164" fontId="14" fillId="0" borderId="6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horizontal="center" vertical="center" wrapText="1"/>
    </xf>
    <xf numFmtId="49" fontId="14" fillId="0" borderId="11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7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1" fillId="5" borderId="8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49" fontId="7" fillId="0" borderId="5" xfId="0" applyNumberFormat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164" fontId="20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49" fontId="20" fillId="0" borderId="6" xfId="0" applyNumberFormat="1" applyFont="1" applyBorder="1" applyAlignment="1">
      <alignment horizontal="center" vertical="center" wrapText="1"/>
    </xf>
    <xf numFmtId="164" fontId="19" fillId="0" borderId="6" xfId="0" applyNumberFormat="1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49" fontId="20" fillId="0" borderId="11" xfId="0" applyNumberFormat="1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5" xfId="0" applyFont="1" applyBorder="1" applyAlignment="1">
      <alignment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center"/>
    </xf>
  </cellXfs>
  <cellStyles count="1">
    <cellStyle name="Normal" xfId="0" builtinId="0"/>
  </cellStyles>
  <dxfs count="180"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rgb="FF8B0000"/>
        </left>
        <right style="thin">
          <color rgb="FFC00000"/>
        </right>
        <top style="thin">
          <color rgb="FF8B0000"/>
        </top>
        <bottom style="thin">
          <color rgb="FF8B0000"/>
        </bottom>
        <vertic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border>
        <bottom style="thin">
          <color rgb="FF8B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/>
        <bottom/>
        <vertical style="thin">
          <color rgb="FF8B0000"/>
        </vertical>
        <horizontal style="thin">
          <color rgb="FF8B0000"/>
        </horizontal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rgb="FF8B0000"/>
        </left>
        <right style="thin">
          <color rgb="FFC00000"/>
        </right>
        <top style="thin">
          <color rgb="FF8B0000"/>
        </top>
        <bottom style="thin">
          <color rgb="FF8B0000"/>
        </bottom>
        <vertic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border>
        <bottom style="thin">
          <color rgb="FF8B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/>
        <bottom/>
        <vertical style="thin">
          <color rgb="FF8B0000"/>
        </vertical>
        <horizontal style="thin">
          <color rgb="FF8B0000"/>
        </horizontal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rgb="FF8B0000"/>
        </left>
        <right style="thin">
          <color rgb="FFC00000"/>
        </right>
        <top style="thin">
          <color rgb="FF8B0000"/>
        </top>
        <bottom style="thin">
          <color rgb="FF8B0000"/>
        </bottom>
        <vertic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border>
        <bottom style="thin">
          <color rgb="FF8B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/>
        <bottom/>
        <vertical style="thin">
          <color rgb="FF8B0000"/>
        </vertical>
        <horizontal style="thin">
          <color rgb="FF8B0000"/>
        </horizontal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C0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vertical="center" textRotation="0" wrapText="1" indent="0" justifyLastLine="0" shrinkToFit="0" readingOrder="0"/>
    </dxf>
    <dxf>
      <border>
        <bottom style="thin">
          <color rgb="FF8B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/>
        <bottom/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rgb="FF8B0000"/>
        </left>
        <right style="thin">
          <color rgb="FFC00000"/>
        </right>
        <top style="thin">
          <color rgb="FF8B0000"/>
        </top>
        <bottom style="thin">
          <color rgb="FF8B0000"/>
        </bottom>
        <vertic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border>
        <bottom style="thin">
          <color rgb="FF8B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B0000"/>
        </left>
        <right style="thin">
          <color rgb="FF8B0000"/>
        </right>
        <top/>
        <bottom/>
        <vertical style="thin">
          <color rgb="FF8B0000"/>
        </vertical>
        <horizontal style="thin">
          <color rgb="FF8B0000"/>
        </horizontal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 defaultTableStyle="TableStyleMedium2" defaultPivotStyle="PivotStyleLight16">
    <tableStyle name="Página1-style" pivot="0" count="3">
      <tableStyleElement type="headerRow" dxfId="179"/>
      <tableStyleElement type="firstRowStripe" dxfId="178"/>
      <tableStyleElement type="secondRowStripe" dxfId="177"/>
    </tableStyle>
  </tableStyles>
  <colors>
    <mruColors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inel_de_Navega&#231;&#227;o_Governan&#231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 Domínio Governança"/>
      <sheetName val="2.1"/>
      <sheetName val="2.2"/>
      <sheetName val="2.3"/>
      <sheetName val="2.4"/>
      <sheetName val="2.5"/>
      <sheetName val="Lista de atividad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Inst_1_1" displayName="Inst_1_1" ref="A4:Q18" headerRowDxfId="136" dataDxfId="134" totalsRowDxfId="133" headerRowBorderDxfId="135">
  <autoFilter ref="A4:Q18"/>
  <tableColumns count="17">
    <tableColumn id="1" name="Data de registro" dataDxfId="132"/>
    <tableColumn id="2" name="Relator" dataDxfId="131"/>
    <tableColumn id="5" name="Atividade" dataDxfId="130"/>
    <tableColumn id="12" name="Descrição da atividade" dataDxfId="129"/>
    <tableColumn id="18" name="Responsável" dataDxfId="128"/>
    <tableColumn id="17" name="Aprovador" dataDxfId="127"/>
    <tableColumn id="16" name="Consultado" dataDxfId="126"/>
    <tableColumn id="20" name="Informado" dataDxfId="125"/>
    <tableColumn id="7" name="Atividade recorrente" dataDxfId="124"/>
    <tableColumn id="6" name="Data de início" dataDxfId="123"/>
    <tableColumn id="21" name="Data final" dataDxfId="122"/>
    <tableColumn id="15" name="Interrelações" dataDxfId="121"/>
    <tableColumn id="9" name="Tipo de relação" dataDxfId="120"/>
    <tableColumn id="10" name="Status" dataDxfId="119"/>
    <tableColumn id="4" name="Metas" dataDxfId="118"/>
    <tableColumn id="3" name="Indicadores" dataDxfId="117"/>
    <tableColumn id="8" name="Observações" dataDxfId="116"/>
  </tableColumns>
  <tableStyleInfo name="Página1-style" showFirstColumn="1" showLastColumn="1" showRowStripes="1" showColumnStripes="0"/>
</table>
</file>

<file path=xl/tables/table2.xml><?xml version="1.0" encoding="utf-8"?>
<table xmlns="http://schemas.openxmlformats.org/spreadsheetml/2006/main" id="2" name="Inst_1_2" displayName="Inst_1_2" ref="A4:Q19" headerRowDxfId="107" dataDxfId="105" totalsRowDxfId="104" headerRowBorderDxfId="106">
  <autoFilter ref="A4:Q19"/>
  <tableColumns count="17">
    <tableColumn id="1" name="Data de registro" dataDxfId="103"/>
    <tableColumn id="2" name="Relator" dataDxfId="102"/>
    <tableColumn id="5" name="Atividade" dataDxfId="101"/>
    <tableColumn id="12" name="Descrição da atividade" dataDxfId="100"/>
    <tableColumn id="18" name="Responsável" dataDxfId="99"/>
    <tableColumn id="17" name="Aprovador" dataDxfId="98"/>
    <tableColumn id="16" name="Consultado" dataDxfId="97"/>
    <tableColumn id="20" name="Informado" dataDxfId="96"/>
    <tableColumn id="7" name="Atividade recorrente" dataDxfId="95"/>
    <tableColumn id="6" name="Data de início" dataDxfId="94"/>
    <tableColumn id="21" name="Data final" dataDxfId="93"/>
    <tableColumn id="15" name="Interrelações" dataDxfId="92"/>
    <tableColumn id="9" name="Tipo de relação" dataDxfId="91"/>
    <tableColumn id="10" name="Status" dataDxfId="90"/>
    <tableColumn id="4" name="Metas" dataDxfId="89"/>
    <tableColumn id="3" name="Indicadores" dataDxfId="88"/>
    <tableColumn id="8" name="Observações" dataDxfId="87"/>
  </tableColumns>
  <tableStyleInfo name="Página1-style" showFirstColumn="1" showLastColumn="1" showRowStripes="1" showColumnStripes="0"/>
</table>
</file>

<file path=xl/tables/table3.xml><?xml version="1.0" encoding="utf-8"?>
<table xmlns="http://schemas.openxmlformats.org/spreadsheetml/2006/main" id="3" name="Inst_1_3" displayName="Inst_1_3" ref="A4:Q18" headerRowDxfId="78" dataDxfId="76" totalsRowDxfId="75" headerRowBorderDxfId="77">
  <autoFilter ref="A4:Q18"/>
  <tableColumns count="17">
    <tableColumn id="1" name="Data de registro" dataDxfId="74"/>
    <tableColumn id="2" name="Relator" dataDxfId="73"/>
    <tableColumn id="5" name="Atividade" dataDxfId="72"/>
    <tableColumn id="12" name="Descrição da atividade" dataDxfId="71"/>
    <tableColumn id="18" name="Responsável" dataDxfId="70"/>
    <tableColumn id="17" name="Aprovador" dataDxfId="69"/>
    <tableColumn id="16" name="Consultado" dataDxfId="68"/>
    <tableColumn id="20" name="Informado" dataDxfId="67"/>
    <tableColumn id="7" name="Atividade recorrente" dataDxfId="66"/>
    <tableColumn id="6" name="Data de início" dataDxfId="65"/>
    <tableColumn id="21" name="Data final" dataDxfId="64"/>
    <tableColumn id="15" name="Interrelações" dataDxfId="63"/>
    <tableColumn id="9" name="Tipo de relação" dataDxfId="62"/>
    <tableColumn id="10" name="Status" dataDxfId="61"/>
    <tableColumn id="4" name="Metas" dataDxfId="60"/>
    <tableColumn id="3" name="Indicadores" dataDxfId="59"/>
    <tableColumn id="8" name="Observações" dataDxfId="58"/>
  </tableColumns>
  <tableStyleInfo name="Página1-style" showFirstColumn="1" showLastColumn="1" showRowStripes="1" showColumnStripes="0"/>
</table>
</file>

<file path=xl/tables/table4.xml><?xml version="1.0" encoding="utf-8"?>
<table xmlns="http://schemas.openxmlformats.org/spreadsheetml/2006/main" id="4" name="Inst_1_4" displayName="Inst_1_4" ref="A4:Q18" headerRowDxfId="49" dataDxfId="47" totalsRowDxfId="46" headerRowBorderDxfId="48">
  <autoFilter ref="A4:Q18"/>
  <tableColumns count="17">
    <tableColumn id="1" name="Data de registro" dataDxfId="45"/>
    <tableColumn id="2" name="Relator" dataDxfId="44"/>
    <tableColumn id="5" name="Atividade" dataDxfId="43"/>
    <tableColumn id="12" name="Descrição da atividade" dataDxfId="42"/>
    <tableColumn id="18" name="Responsável" dataDxfId="41"/>
    <tableColumn id="17" name="Aprovador" dataDxfId="40"/>
    <tableColumn id="16" name="Consultado" dataDxfId="39"/>
    <tableColumn id="20" name="Informado" dataDxfId="38"/>
    <tableColumn id="7" name="Atividade recorrente" dataDxfId="37"/>
    <tableColumn id="6" name="Data de início" dataDxfId="36"/>
    <tableColumn id="21" name="Data final" dataDxfId="35"/>
    <tableColumn id="15" name="Interrelações" dataDxfId="34"/>
    <tableColumn id="9" name="Tipo de relação" dataDxfId="33"/>
    <tableColumn id="10" name="Status" dataDxfId="32"/>
    <tableColumn id="4" name="Metas" dataDxfId="31"/>
    <tableColumn id="3" name="Indicadores" dataDxfId="30"/>
    <tableColumn id="8" name="Observações" dataDxfId="29"/>
  </tableColumns>
  <tableStyleInfo name="Página1-style" showFirstColumn="1" showLastColumn="1" showRowStripes="1" showColumnStripes="0"/>
</table>
</file>

<file path=xl/tables/table5.xml><?xml version="1.0" encoding="utf-8"?>
<table xmlns="http://schemas.openxmlformats.org/spreadsheetml/2006/main" id="5" name="Inst_1_5" displayName="Inst_1_5" ref="A4:Q18" headerRowDxfId="20" dataDxfId="18" totalsRowDxfId="17" headerRowBorderDxfId="19">
  <autoFilter ref="A4:Q18"/>
  <tableColumns count="17">
    <tableColumn id="1" name="Data de registro" dataDxfId="16"/>
    <tableColumn id="2" name="Relator" dataDxfId="15"/>
    <tableColumn id="5" name="Atividade" dataDxfId="14"/>
    <tableColumn id="12" name="Descrição da atividade" dataDxfId="13"/>
    <tableColumn id="18" name="Responsável" dataDxfId="12"/>
    <tableColumn id="17" name="Aprovador" dataDxfId="11"/>
    <tableColumn id="16" name="Consultado" dataDxfId="10"/>
    <tableColumn id="20" name="Informado" dataDxfId="9"/>
    <tableColumn id="7" name="Atividade recorrente" dataDxfId="8"/>
    <tableColumn id="6" name="Data de início" dataDxfId="7"/>
    <tableColumn id="21" name="Data final" dataDxfId="6"/>
    <tableColumn id="15" name="Interrelações" dataDxfId="5"/>
    <tableColumn id="9" name="Tipo de relação" dataDxfId="4"/>
    <tableColumn id="10" name="Status" dataDxfId="3"/>
    <tableColumn id="4" name="Metas" dataDxfId="2"/>
    <tableColumn id="3" name="Indicadores" dataDxfId="1"/>
    <tableColumn id="8" name="Observações" dataDxfId="0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0000"/>
  </sheetPr>
  <dimension ref="A1:F30"/>
  <sheetViews>
    <sheetView topLeftCell="B1" zoomScale="120" zoomScaleNormal="120" workbookViewId="0">
      <selection activeCell="C3" sqref="C3"/>
    </sheetView>
  </sheetViews>
  <sheetFormatPr defaultRowHeight="14.25"/>
  <cols>
    <col min="2" max="2" width="33.25" customWidth="1"/>
    <col min="3" max="3" width="57.75" customWidth="1"/>
  </cols>
  <sheetData>
    <row r="1" spans="1:3" ht="21">
      <c r="A1" s="117" t="s">
        <v>0</v>
      </c>
      <c r="B1" s="118"/>
      <c r="C1" s="119"/>
    </row>
    <row r="2" spans="1:3" ht="21">
      <c r="A2" s="1" t="s">
        <v>1</v>
      </c>
      <c r="B2" s="1"/>
      <c r="C2" s="1"/>
    </row>
    <row r="3" spans="1:3" ht="18.75">
      <c r="A3" s="47" t="s">
        <v>2</v>
      </c>
      <c r="B3" s="45"/>
      <c r="C3" s="46" t="s">
        <v>117</v>
      </c>
    </row>
    <row r="4" spans="1:3">
      <c r="A4" s="2"/>
      <c r="B4" s="2" t="s">
        <v>4</v>
      </c>
      <c r="C4" s="2" t="s">
        <v>5</v>
      </c>
    </row>
    <row r="5" spans="1:3" ht="60">
      <c r="A5" s="3" t="s">
        <v>6</v>
      </c>
      <c r="B5" s="4" t="s">
        <v>7</v>
      </c>
      <c r="C5" s="5" t="s">
        <v>8</v>
      </c>
    </row>
    <row r="6" spans="1:3" ht="60">
      <c r="A6" s="3" t="s">
        <v>9</v>
      </c>
      <c r="B6" s="4" t="s">
        <v>10</v>
      </c>
      <c r="C6" s="5" t="s">
        <v>11</v>
      </c>
    </row>
    <row r="7" spans="1:3" ht="45">
      <c r="A7" s="3" t="s">
        <v>12</v>
      </c>
      <c r="B7" s="4" t="s">
        <v>13</v>
      </c>
      <c r="C7" s="5" t="s">
        <v>14</v>
      </c>
    </row>
    <row r="8" spans="1:3" ht="45">
      <c r="A8" s="3" t="s">
        <v>15</v>
      </c>
      <c r="B8" s="4" t="s">
        <v>16</v>
      </c>
      <c r="C8" s="5" t="s">
        <v>17</v>
      </c>
    </row>
    <row r="9" spans="1:3" ht="60">
      <c r="A9" s="3" t="s">
        <v>18</v>
      </c>
      <c r="B9" s="4" t="s">
        <v>19</v>
      </c>
      <c r="C9" s="5" t="s">
        <v>20</v>
      </c>
    </row>
    <row r="30" spans="6:6">
      <c r="F30" s="44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0000"/>
  </sheetPr>
  <dimension ref="A1:Q18"/>
  <sheetViews>
    <sheetView topLeftCell="B1" workbookViewId="0">
      <selection activeCell="C10" sqref="C10"/>
    </sheetView>
  </sheetViews>
  <sheetFormatPr defaultColWidth="8.875" defaultRowHeight="14.25"/>
  <cols>
    <col min="1" max="2" width="14.375" customWidth="1"/>
    <col min="3" max="3" width="29.5" customWidth="1"/>
    <col min="4" max="4" width="72.25" bestFit="1" customWidth="1"/>
    <col min="5" max="17" width="14.375" customWidth="1"/>
  </cols>
  <sheetData>
    <row r="1" spans="1:17" s="31" customFormat="1" ht="21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6"/>
    </row>
    <row r="2" spans="1:17" s="32" customFormat="1" ht="15.75">
      <c r="A2" s="120" t="s">
        <v>22</v>
      </c>
      <c r="B2" s="121"/>
      <c r="C2" s="6" t="s">
        <v>92</v>
      </c>
      <c r="D2" s="6"/>
      <c r="E2" s="7"/>
      <c r="F2" s="8"/>
      <c r="G2" s="8"/>
      <c r="H2" s="8"/>
      <c r="I2" s="8"/>
      <c r="J2" s="9"/>
      <c r="K2" s="8"/>
      <c r="L2" s="8"/>
      <c r="M2" s="8"/>
      <c r="N2" s="8"/>
      <c r="O2" s="8"/>
      <c r="P2" s="8"/>
      <c r="Q2" s="37"/>
    </row>
    <row r="3" spans="1:17" s="32" customFormat="1" ht="15.75">
      <c r="A3" s="122" t="s">
        <v>23</v>
      </c>
      <c r="B3" s="123"/>
      <c r="C3" s="35" t="s">
        <v>91</v>
      </c>
      <c r="D3" s="10"/>
      <c r="E3" s="11"/>
      <c r="F3" s="12"/>
      <c r="G3" s="12"/>
      <c r="H3" s="12"/>
      <c r="I3" s="12"/>
      <c r="J3" s="13"/>
      <c r="K3" s="12"/>
      <c r="L3" s="12"/>
      <c r="M3" s="12"/>
      <c r="N3" s="12"/>
      <c r="O3" s="12"/>
      <c r="P3" s="12"/>
      <c r="Q3" s="38"/>
    </row>
    <row r="4" spans="1:17" s="33" customFormat="1" ht="43.15" customHeight="1">
      <c r="A4" s="14" t="s">
        <v>24</v>
      </c>
      <c r="B4" s="14" t="s">
        <v>25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30</v>
      </c>
      <c r="H4" s="14" t="s">
        <v>31</v>
      </c>
      <c r="I4" s="14" t="s">
        <v>32</v>
      </c>
      <c r="J4" s="14" t="s">
        <v>33</v>
      </c>
      <c r="K4" s="14" t="s">
        <v>34</v>
      </c>
      <c r="L4" s="14" t="s">
        <v>35</v>
      </c>
      <c r="M4" s="14" t="s">
        <v>36</v>
      </c>
      <c r="N4" s="14" t="s">
        <v>37</v>
      </c>
      <c r="O4" s="14" t="s">
        <v>38</v>
      </c>
      <c r="P4" s="14" t="s">
        <v>39</v>
      </c>
      <c r="Q4" s="39" t="s">
        <v>40</v>
      </c>
    </row>
    <row r="5" spans="1:17" s="56" customFormat="1" ht="15">
      <c r="A5" s="48" t="s">
        <v>59</v>
      </c>
      <c r="B5" s="49" t="s">
        <v>60</v>
      </c>
      <c r="C5" s="50" t="s">
        <v>61</v>
      </c>
      <c r="D5" s="50" t="s">
        <v>3</v>
      </c>
      <c r="E5" s="51" t="s">
        <v>62</v>
      </c>
      <c r="F5" s="51" t="s">
        <v>63</v>
      </c>
      <c r="G5" s="51" t="s">
        <v>63</v>
      </c>
      <c r="H5" s="51" t="s">
        <v>63</v>
      </c>
      <c r="I5" s="52" t="b">
        <v>0</v>
      </c>
      <c r="J5" s="53">
        <v>45940</v>
      </c>
      <c r="K5" s="53">
        <v>45940</v>
      </c>
      <c r="L5" s="48"/>
      <c r="M5" s="54" t="s">
        <v>41</v>
      </c>
      <c r="N5" s="55" t="s">
        <v>47</v>
      </c>
      <c r="O5" s="54" t="s">
        <v>64</v>
      </c>
      <c r="P5" s="54" t="s">
        <v>65</v>
      </c>
      <c r="Q5" s="48" t="s">
        <v>66</v>
      </c>
    </row>
    <row r="6" spans="1:17" s="56" customFormat="1" ht="15">
      <c r="A6" s="48" t="s">
        <v>59</v>
      </c>
      <c r="B6" s="49" t="s">
        <v>60</v>
      </c>
      <c r="C6" s="50" t="s">
        <v>67</v>
      </c>
      <c r="D6" s="50" t="s">
        <v>68</v>
      </c>
      <c r="E6" s="51" t="s">
        <v>69</v>
      </c>
      <c r="F6" s="51" t="s">
        <v>63</v>
      </c>
      <c r="G6" s="51" t="s">
        <v>70</v>
      </c>
      <c r="H6" s="51" t="s">
        <v>63</v>
      </c>
      <c r="I6" s="52" t="b">
        <v>0</v>
      </c>
      <c r="J6" s="53">
        <v>45940</v>
      </c>
      <c r="K6" s="53">
        <v>45945</v>
      </c>
      <c r="L6" s="54"/>
      <c r="M6" s="54" t="s">
        <v>43</v>
      </c>
      <c r="N6" s="55" t="s">
        <v>44</v>
      </c>
      <c r="O6" s="54" t="s">
        <v>71</v>
      </c>
      <c r="P6" s="54" t="s">
        <v>65</v>
      </c>
      <c r="Q6" s="48" t="s">
        <v>72</v>
      </c>
    </row>
    <row r="7" spans="1:17" s="56" customFormat="1" ht="15">
      <c r="A7" s="48" t="s">
        <v>59</v>
      </c>
      <c r="B7" s="49" t="s">
        <v>60</v>
      </c>
      <c r="C7" s="57" t="s">
        <v>73</v>
      </c>
      <c r="D7" s="50" t="s">
        <v>74</v>
      </c>
      <c r="E7" s="51" t="s">
        <v>62</v>
      </c>
      <c r="F7" s="51" t="s">
        <v>63</v>
      </c>
      <c r="G7" s="51" t="s">
        <v>70</v>
      </c>
      <c r="H7" s="51" t="s">
        <v>63</v>
      </c>
      <c r="I7" s="52" t="b">
        <v>0</v>
      </c>
      <c r="J7" s="53">
        <v>45940</v>
      </c>
      <c r="K7" s="53">
        <v>45945</v>
      </c>
      <c r="L7" s="54"/>
      <c r="M7" s="54" t="s">
        <v>43</v>
      </c>
      <c r="N7" s="55" t="s">
        <v>44</v>
      </c>
      <c r="O7" s="54" t="s">
        <v>71</v>
      </c>
      <c r="P7" s="54" t="s">
        <v>65</v>
      </c>
      <c r="Q7" s="48" t="s">
        <v>75</v>
      </c>
    </row>
    <row r="8" spans="1:17" s="56" customFormat="1" ht="15">
      <c r="A8" s="48" t="s">
        <v>59</v>
      </c>
      <c r="B8" s="58" t="s">
        <v>60</v>
      </c>
      <c r="C8" s="57" t="s">
        <v>76</v>
      </c>
      <c r="D8" s="57" t="s">
        <v>77</v>
      </c>
      <c r="E8" s="59" t="s">
        <v>62</v>
      </c>
      <c r="F8" s="59" t="s">
        <v>63</v>
      </c>
      <c r="G8" s="59" t="s">
        <v>69</v>
      </c>
      <c r="H8" s="59" t="s">
        <v>69</v>
      </c>
      <c r="I8" s="52" t="b">
        <v>0</v>
      </c>
      <c r="J8" s="60">
        <v>45958</v>
      </c>
      <c r="K8" s="60">
        <v>45958</v>
      </c>
      <c r="L8" s="59"/>
      <c r="M8" s="61" t="s">
        <v>41</v>
      </c>
      <c r="N8" s="62" t="s">
        <v>44</v>
      </c>
      <c r="O8" s="61" t="s">
        <v>78</v>
      </c>
      <c r="P8" s="61" t="s">
        <v>65</v>
      </c>
      <c r="Q8" s="63" t="s">
        <v>79</v>
      </c>
    </row>
    <row r="9" spans="1:17" s="56" customFormat="1" ht="15">
      <c r="A9" s="48" t="s">
        <v>59</v>
      </c>
      <c r="B9" s="49" t="s">
        <v>60</v>
      </c>
      <c r="C9" s="50" t="s">
        <v>80</v>
      </c>
      <c r="D9" s="57" t="s">
        <v>81</v>
      </c>
      <c r="E9" s="51" t="s">
        <v>82</v>
      </c>
      <c r="F9" s="51" t="s">
        <v>63</v>
      </c>
      <c r="G9" s="51" t="s">
        <v>83</v>
      </c>
      <c r="H9" s="51" t="s">
        <v>82</v>
      </c>
      <c r="I9" s="52" t="b">
        <v>0</v>
      </c>
      <c r="J9" s="53">
        <v>45940</v>
      </c>
      <c r="K9" s="53">
        <v>45961</v>
      </c>
      <c r="L9" s="54"/>
      <c r="M9" s="54" t="s">
        <v>43</v>
      </c>
      <c r="N9" s="55" t="s">
        <v>44</v>
      </c>
      <c r="O9" s="54" t="s">
        <v>71</v>
      </c>
      <c r="P9" s="54" t="s">
        <v>65</v>
      </c>
      <c r="Q9" s="48" t="s">
        <v>84</v>
      </c>
    </row>
    <row r="10" spans="1:17" s="56" customFormat="1" ht="15">
      <c r="A10" s="48" t="s">
        <v>85</v>
      </c>
      <c r="B10" s="49" t="s">
        <v>60</v>
      </c>
      <c r="C10" s="50" t="s">
        <v>156</v>
      </c>
      <c r="D10" s="50" t="s">
        <v>86</v>
      </c>
      <c r="E10" s="51" t="s">
        <v>82</v>
      </c>
      <c r="F10" s="51" t="s">
        <v>63</v>
      </c>
      <c r="G10" s="51" t="s">
        <v>63</v>
      </c>
      <c r="H10" s="51" t="s">
        <v>69</v>
      </c>
      <c r="I10" s="52" t="s">
        <v>87</v>
      </c>
      <c r="J10" s="53"/>
      <c r="K10" s="53"/>
      <c r="L10" s="54"/>
      <c r="M10" s="54" t="s">
        <v>43</v>
      </c>
      <c r="N10" s="55" t="s">
        <v>46</v>
      </c>
      <c r="O10" s="54" t="s">
        <v>88</v>
      </c>
      <c r="P10" s="54" t="s">
        <v>65</v>
      </c>
      <c r="Q10" s="48" t="s">
        <v>89</v>
      </c>
    </row>
    <row r="11" spans="1:17" s="32" customFormat="1" ht="15">
      <c r="A11" s="22"/>
      <c r="B11" s="23"/>
      <c r="C11" s="29"/>
      <c r="D11" s="29"/>
      <c r="E11" s="24"/>
      <c r="F11" s="24"/>
      <c r="G11" s="24"/>
      <c r="H11" s="24"/>
      <c r="I11" s="25" t="b">
        <v>0</v>
      </c>
      <c r="J11" s="26"/>
      <c r="K11" s="26"/>
      <c r="L11" s="27"/>
      <c r="M11" s="27"/>
      <c r="N11" s="28"/>
      <c r="O11" s="27"/>
      <c r="P11" s="27"/>
      <c r="Q11" s="41"/>
    </row>
    <row r="12" spans="1:17" s="32" customFormat="1" ht="15">
      <c r="A12" s="22"/>
      <c r="B12" s="23"/>
      <c r="C12" s="29"/>
      <c r="D12" s="29"/>
      <c r="E12" s="24"/>
      <c r="F12" s="24"/>
      <c r="G12" s="24"/>
      <c r="H12" s="24"/>
      <c r="I12" s="25" t="b">
        <v>0</v>
      </c>
      <c r="J12" s="26"/>
      <c r="K12" s="26"/>
      <c r="L12" s="27"/>
      <c r="M12" s="27"/>
      <c r="N12" s="28"/>
      <c r="O12" s="27"/>
      <c r="P12" s="27"/>
      <c r="Q12" s="41"/>
    </row>
    <row r="13" spans="1:17" s="32" customFormat="1" ht="15">
      <c r="A13" s="22"/>
      <c r="B13" s="23"/>
      <c r="C13" s="29"/>
      <c r="D13" s="29"/>
      <c r="E13" s="24"/>
      <c r="F13" s="24"/>
      <c r="G13" s="24"/>
      <c r="H13" s="24"/>
      <c r="I13" s="25" t="b">
        <v>0</v>
      </c>
      <c r="J13" s="26"/>
      <c r="K13" s="26"/>
      <c r="L13" s="27"/>
      <c r="M13" s="27"/>
      <c r="N13" s="28"/>
      <c r="O13" s="27"/>
      <c r="P13" s="27"/>
      <c r="Q13" s="41"/>
    </row>
    <row r="14" spans="1:17" s="32" customFormat="1" ht="15">
      <c r="A14" s="22"/>
      <c r="B14" s="23"/>
      <c r="C14" s="29"/>
      <c r="D14" s="29"/>
      <c r="E14" s="24"/>
      <c r="F14" s="24"/>
      <c r="G14" s="24"/>
      <c r="H14" s="24"/>
      <c r="I14" s="25" t="b">
        <v>0</v>
      </c>
      <c r="J14" s="26"/>
      <c r="K14" s="26"/>
      <c r="L14" s="27"/>
      <c r="M14" s="27"/>
      <c r="N14" s="28"/>
      <c r="O14" s="27"/>
      <c r="P14" s="27"/>
      <c r="Q14" s="41"/>
    </row>
    <row r="15" spans="1:17" s="32" customFormat="1" ht="15">
      <c r="A15" s="22"/>
      <c r="B15" s="23"/>
      <c r="C15" s="29"/>
      <c r="D15" s="29"/>
      <c r="E15" s="24"/>
      <c r="F15" s="24"/>
      <c r="G15" s="24"/>
      <c r="H15" s="24"/>
      <c r="I15" s="25" t="b">
        <v>0</v>
      </c>
      <c r="J15" s="26"/>
      <c r="K15" s="26"/>
      <c r="L15" s="27"/>
      <c r="M15" s="27"/>
      <c r="N15" s="28"/>
      <c r="O15" s="27"/>
      <c r="P15" s="27"/>
      <c r="Q15" s="41"/>
    </row>
    <row r="16" spans="1:17" s="32" customFormat="1" ht="15">
      <c r="A16" s="22"/>
      <c r="B16" s="23"/>
      <c r="C16" s="29"/>
      <c r="D16" s="29"/>
      <c r="E16" s="24"/>
      <c r="F16" s="24"/>
      <c r="G16" s="24"/>
      <c r="H16" s="24"/>
      <c r="I16" s="25" t="b">
        <v>0</v>
      </c>
      <c r="J16" s="26"/>
      <c r="K16" s="26"/>
      <c r="L16" s="27"/>
      <c r="M16" s="27"/>
      <c r="N16" s="28"/>
      <c r="O16" s="27"/>
      <c r="P16" s="27"/>
      <c r="Q16" s="41"/>
    </row>
    <row r="17" spans="1:17" s="32" customFormat="1" ht="15">
      <c r="A17" s="22"/>
      <c r="B17" s="23"/>
      <c r="C17" s="29"/>
      <c r="D17" s="29"/>
      <c r="E17" s="24"/>
      <c r="F17" s="24"/>
      <c r="G17" s="24"/>
      <c r="H17" s="24"/>
      <c r="I17" s="25" t="b">
        <v>0</v>
      </c>
      <c r="J17" s="26"/>
      <c r="K17" s="26"/>
      <c r="L17" s="27"/>
      <c r="M17" s="27"/>
      <c r="N17" s="28"/>
      <c r="O17" s="27"/>
      <c r="P17" s="27"/>
      <c r="Q17" s="41"/>
    </row>
    <row r="18" spans="1:17" s="32" customFormat="1" ht="15">
      <c r="A18" s="22"/>
      <c r="B18" s="23"/>
      <c r="C18" s="29"/>
      <c r="D18" s="29"/>
      <c r="E18" s="22"/>
      <c r="F18" s="22"/>
      <c r="G18" s="22"/>
      <c r="H18" s="22"/>
      <c r="I18" s="30" t="b">
        <v>0</v>
      </c>
      <c r="J18" s="23"/>
      <c r="K18" s="23"/>
      <c r="L18" s="20"/>
      <c r="M18" s="22"/>
      <c r="N18" s="22"/>
      <c r="O18" s="22"/>
      <c r="P18" s="22"/>
      <c r="Q18" s="41"/>
    </row>
  </sheetData>
  <mergeCells count="2">
    <mergeCell ref="A2:B2"/>
    <mergeCell ref="A3:B3"/>
  </mergeCells>
  <conditionalFormatting sqref="J11:K18">
    <cfRule type="expression" dxfId="176" priority="37">
      <formula>$I11=TRUE</formula>
    </cfRule>
  </conditionalFormatting>
  <conditionalFormatting sqref="M11:M18">
    <cfRule type="containsText" dxfId="175" priority="38" operator="containsText" text="Simultânea">
      <formula>NOT(ISERROR(SEARCH("Simultânea",M11)))</formula>
    </cfRule>
    <cfRule type="containsText" dxfId="174" priority="39" operator="containsText" text="Sucede">
      <formula>NOT(ISERROR(SEARCH("Sucede",M11)))</formula>
    </cfRule>
    <cfRule type="containsText" dxfId="173" priority="40" operator="containsText" text="Antecede">
      <formula>NOT(ISERROR(SEARCH("Antecede",M11)))</formula>
    </cfRule>
  </conditionalFormatting>
  <conditionalFormatting sqref="N11:N17">
    <cfRule type="containsText" dxfId="172" priority="33" operator="containsText" text="Concluída">
      <formula>NOT(ISERROR(SEARCH("Concluída",N11)))</formula>
    </cfRule>
    <cfRule type="containsText" dxfId="171" priority="34" operator="containsText" text="Paralisada">
      <formula>NOT(ISERROR(SEARCH("Paralisada",N11)))</formula>
    </cfRule>
    <cfRule type="containsText" dxfId="170" priority="35" operator="containsText" text="Em execução">
      <formula>NOT(ISERROR(SEARCH("Em execução",N11)))</formula>
    </cfRule>
    <cfRule type="containsText" dxfId="169" priority="36" operator="containsText" text="Não iniciada">
      <formula>NOT(ISERROR(SEARCH("Não iniciada",N11)))</formula>
    </cfRule>
  </conditionalFormatting>
  <conditionalFormatting sqref="J5:K5">
    <cfRule type="expression" dxfId="168" priority="29">
      <formula>$I5=TRUE</formula>
    </cfRule>
  </conditionalFormatting>
  <conditionalFormatting sqref="M5">
    <cfRule type="containsText" dxfId="167" priority="30" operator="containsText" text="Simultânea">
      <formula>NOT(ISERROR(SEARCH("Simultânea",M5)))</formula>
    </cfRule>
    <cfRule type="containsText" dxfId="166" priority="31" operator="containsText" text="Sucede">
      <formula>NOT(ISERROR(SEARCH("Sucede",M5)))</formula>
    </cfRule>
    <cfRule type="containsText" dxfId="165" priority="32" operator="containsText" text="Antecede">
      <formula>NOT(ISERROR(SEARCH("Antecede",M5)))</formula>
    </cfRule>
  </conditionalFormatting>
  <conditionalFormatting sqref="N5">
    <cfRule type="containsText" dxfId="164" priority="25" operator="containsText" text="Concluída">
      <formula>NOT(ISERROR(SEARCH("Concluída",N5)))</formula>
    </cfRule>
    <cfRule type="containsText" dxfId="163" priority="26" operator="containsText" text="Paralisada">
      <formula>NOT(ISERROR(SEARCH("Paralisada",N5)))</formula>
    </cfRule>
    <cfRule type="containsText" dxfId="162" priority="27" operator="containsText" text="Em execução">
      <formula>NOT(ISERROR(SEARCH("Em execução",N5)))</formula>
    </cfRule>
    <cfRule type="containsText" dxfId="161" priority="28" operator="containsText" text="Não iniciada">
      <formula>NOT(ISERROR(SEARCH("Não iniciada",N5)))</formula>
    </cfRule>
  </conditionalFormatting>
  <conditionalFormatting sqref="J6:K6">
    <cfRule type="expression" dxfId="160" priority="21">
      <formula>$I6=TRUE</formula>
    </cfRule>
  </conditionalFormatting>
  <conditionalFormatting sqref="M6">
    <cfRule type="containsText" dxfId="159" priority="22" operator="containsText" text="Simultânea">
      <formula>NOT(ISERROR(SEARCH("Simultânea",M6)))</formula>
    </cfRule>
    <cfRule type="containsText" dxfId="158" priority="23" operator="containsText" text="Sucede">
      <formula>NOT(ISERROR(SEARCH("Sucede",M6)))</formula>
    </cfRule>
    <cfRule type="containsText" dxfId="157" priority="24" operator="containsText" text="Antecede">
      <formula>NOT(ISERROR(SEARCH("Antecede",M6)))</formula>
    </cfRule>
  </conditionalFormatting>
  <conditionalFormatting sqref="N6">
    <cfRule type="containsText" dxfId="156" priority="17" operator="containsText" text="Concluída">
      <formula>NOT(ISERROR(SEARCH("Concluída",N6)))</formula>
    </cfRule>
    <cfRule type="containsText" dxfId="155" priority="18" operator="containsText" text="Paralisada">
      <formula>NOT(ISERROR(SEARCH("Paralisada",N6)))</formula>
    </cfRule>
    <cfRule type="containsText" dxfId="154" priority="19" operator="containsText" text="Em execução">
      <formula>NOT(ISERROR(SEARCH("Em execução",N6)))</formula>
    </cfRule>
    <cfRule type="containsText" dxfId="153" priority="20" operator="containsText" text="Não iniciada">
      <formula>NOT(ISERROR(SEARCH("Não iniciada",N6)))</formula>
    </cfRule>
  </conditionalFormatting>
  <conditionalFormatting sqref="J7:K7">
    <cfRule type="expression" dxfId="152" priority="13">
      <formula>$I7=TRUE</formula>
    </cfRule>
  </conditionalFormatting>
  <conditionalFormatting sqref="M7">
    <cfRule type="containsText" dxfId="151" priority="14" operator="containsText" text="Simultânea">
      <formula>NOT(ISERROR(SEARCH("Simultânea",M7)))</formula>
    </cfRule>
    <cfRule type="containsText" dxfId="150" priority="15" operator="containsText" text="Sucede">
      <formula>NOT(ISERROR(SEARCH("Sucede",M7)))</formula>
    </cfRule>
    <cfRule type="containsText" dxfId="149" priority="16" operator="containsText" text="Antecede">
      <formula>NOT(ISERROR(SEARCH("Antecede",M7)))</formula>
    </cfRule>
  </conditionalFormatting>
  <conditionalFormatting sqref="N7">
    <cfRule type="containsText" dxfId="148" priority="9" operator="containsText" text="Concluída">
      <formula>NOT(ISERROR(SEARCH("Concluída",N7)))</formula>
    </cfRule>
    <cfRule type="containsText" dxfId="147" priority="10" operator="containsText" text="Paralisada">
      <formula>NOT(ISERROR(SEARCH("Paralisada",N7)))</formula>
    </cfRule>
    <cfRule type="containsText" dxfId="146" priority="11" operator="containsText" text="Em execução">
      <formula>NOT(ISERROR(SEARCH("Em execução",N7)))</formula>
    </cfRule>
    <cfRule type="containsText" dxfId="145" priority="12" operator="containsText" text="Não iniciada">
      <formula>NOT(ISERROR(SEARCH("Não iniciada",N7)))</formula>
    </cfRule>
  </conditionalFormatting>
  <conditionalFormatting sqref="J8:K10">
    <cfRule type="expression" dxfId="144" priority="5">
      <formula>$I8=TRUE</formula>
    </cfRule>
  </conditionalFormatting>
  <conditionalFormatting sqref="M8:M10">
    <cfRule type="containsText" dxfId="143" priority="6" operator="containsText" text="Simultânea">
      <formula>NOT(ISERROR(SEARCH("Simultânea",M8)))</formula>
    </cfRule>
    <cfRule type="containsText" dxfId="142" priority="7" operator="containsText" text="Sucede">
      <formula>NOT(ISERROR(SEARCH("Sucede",M8)))</formula>
    </cfRule>
    <cfRule type="containsText" dxfId="141" priority="8" operator="containsText" text="Antecede">
      <formula>NOT(ISERROR(SEARCH("Antecede",M8)))</formula>
    </cfRule>
  </conditionalFormatting>
  <conditionalFormatting sqref="N8:N10">
    <cfRule type="containsText" dxfId="140" priority="1" operator="containsText" text="Concluída">
      <formula>NOT(ISERROR(SEARCH("Concluída",N8)))</formula>
    </cfRule>
    <cfRule type="containsText" dxfId="139" priority="2" operator="containsText" text="Paralisada">
      <formula>NOT(ISERROR(SEARCH("Paralisada",N8)))</formula>
    </cfRule>
    <cfRule type="containsText" dxfId="138" priority="3" operator="containsText" text="Em execução">
      <formula>NOT(ISERROR(SEARCH("Em execução",N8)))</formula>
    </cfRule>
    <cfRule type="containsText" dxfId="137" priority="4" operator="containsText" text="Não iniciada">
      <formula>NOT(ISERROR(SEARCH("Não iniciada",N8)))</formula>
    </cfRule>
  </conditionalFormatting>
  <dataValidations count="4">
    <dataValidation type="list" allowBlank="1" showInputMessage="1" showErrorMessage="1" sqref="M5:M18">
      <formula1>"Antecede,Sucede,Simultânea"</formula1>
    </dataValidation>
    <dataValidation type="list" allowBlank="1" sqref="N5:N18">
      <formula1>"Não iniciada,Em execução,Paralisada,Concluída"</formula1>
    </dataValidation>
    <dataValidation allowBlank="1" showDropDown="1" sqref="Q5:Q17"/>
    <dataValidation type="custom" allowBlank="1" showDropDown="1" sqref="B5:B18">
      <formula1>OR(NOT(ISERROR(DATEVALUE(B5))), AND(ISNUMBER(B5), LEFT(CELL("format", B5))="D"))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'Lista de atividades'!$F$2:$F$1496</xm:f>
          </x14:formula1>
          <xm:sqref>L11:L18</xm:sqref>
        </x14:dataValidation>
        <x14:dataValidation type="list" allowBlank="1" showInputMessage="1" showErrorMessage="1">
          <x14:formula1>
            <xm:f>'C:\Users\marcosf\Desktop\PROJETO RNDS\[Painel_de_Navegação_Governança.xlsx]Lista de atividades'!#REF!</xm:f>
          </x14:formula1>
          <xm:sqref>L5:L10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0000"/>
  </sheetPr>
  <dimension ref="A1:Q19"/>
  <sheetViews>
    <sheetView zoomScale="120" zoomScaleNormal="120" workbookViewId="0">
      <selection activeCell="J5" sqref="J5:K8"/>
    </sheetView>
  </sheetViews>
  <sheetFormatPr defaultColWidth="8.875" defaultRowHeight="14.25"/>
  <cols>
    <col min="1" max="17" width="14.375" style="95" customWidth="1"/>
    <col min="18" max="16384" width="8.875" style="95"/>
  </cols>
  <sheetData>
    <row r="1" spans="1:17" s="82" customFormat="1" ht="21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6"/>
    </row>
    <row r="2" spans="1:17" s="84" customFormat="1" ht="15.6" customHeight="1">
      <c r="A2" s="124" t="s">
        <v>22</v>
      </c>
      <c r="B2" s="125"/>
      <c r="C2" s="34" t="str">
        <f>'1. Domínio Institucional'!C3</f>
        <v>Regulamentação do GT e Politicas</v>
      </c>
      <c r="D2" s="6"/>
      <c r="E2" s="7"/>
      <c r="F2" s="8"/>
      <c r="G2" s="8"/>
      <c r="H2" s="8"/>
      <c r="I2" s="8"/>
      <c r="J2" s="9"/>
      <c r="K2" s="8"/>
      <c r="L2" s="8"/>
      <c r="M2" s="8"/>
      <c r="N2" s="8"/>
      <c r="O2" s="8"/>
      <c r="P2" s="8"/>
      <c r="Q2" s="83"/>
    </row>
    <row r="3" spans="1:17" s="84" customFormat="1" ht="15.75">
      <c r="A3" s="122" t="s">
        <v>23</v>
      </c>
      <c r="B3" s="123"/>
      <c r="C3" s="10" t="s">
        <v>118</v>
      </c>
      <c r="D3" s="10"/>
      <c r="E3" s="11"/>
      <c r="F3" s="12"/>
      <c r="G3" s="12"/>
      <c r="H3" s="12"/>
      <c r="I3" s="12"/>
      <c r="J3" s="13"/>
      <c r="K3" s="12"/>
      <c r="L3" s="12"/>
      <c r="M3" s="12"/>
      <c r="N3" s="12"/>
      <c r="O3" s="12"/>
      <c r="P3" s="12"/>
      <c r="Q3" s="85"/>
    </row>
    <row r="4" spans="1:17" s="86" customFormat="1" ht="43.15" customHeight="1">
      <c r="A4" s="14" t="s">
        <v>24</v>
      </c>
      <c r="B4" s="14" t="s">
        <v>25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30</v>
      </c>
      <c r="H4" s="14" t="s">
        <v>31</v>
      </c>
      <c r="I4" s="14" t="s">
        <v>32</v>
      </c>
      <c r="J4" s="14" t="s">
        <v>33</v>
      </c>
      <c r="K4" s="14" t="s">
        <v>34</v>
      </c>
      <c r="L4" s="14" t="s">
        <v>35</v>
      </c>
      <c r="M4" s="14" t="s">
        <v>36</v>
      </c>
      <c r="N4" s="14" t="s">
        <v>37</v>
      </c>
      <c r="O4" s="14" t="s">
        <v>38</v>
      </c>
      <c r="P4" s="14" t="s">
        <v>39</v>
      </c>
      <c r="Q4" s="39" t="s">
        <v>40</v>
      </c>
    </row>
    <row r="5" spans="1:17" s="84" customFormat="1" ht="75">
      <c r="A5" s="65" t="s">
        <v>90</v>
      </c>
      <c r="B5" s="66" t="s">
        <v>93</v>
      </c>
      <c r="C5" s="87" t="s">
        <v>94</v>
      </c>
      <c r="D5" s="87" t="s">
        <v>95</v>
      </c>
      <c r="E5" s="81" t="s">
        <v>96</v>
      </c>
      <c r="F5" s="81" t="s">
        <v>63</v>
      </c>
      <c r="G5" s="81" t="s">
        <v>97</v>
      </c>
      <c r="H5" s="81" t="s">
        <v>69</v>
      </c>
      <c r="I5" s="88" t="b">
        <v>0</v>
      </c>
      <c r="J5" s="89">
        <v>45967</v>
      </c>
      <c r="K5" s="89">
        <v>46112</v>
      </c>
      <c r="L5" s="65" t="s">
        <v>80</v>
      </c>
      <c r="M5" s="90" t="s">
        <v>43</v>
      </c>
      <c r="N5" s="72" t="s">
        <v>44</v>
      </c>
      <c r="O5" s="90" t="s">
        <v>98</v>
      </c>
      <c r="P5" s="90" t="s">
        <v>114</v>
      </c>
      <c r="Q5" s="73"/>
    </row>
    <row r="6" spans="1:17" s="84" customFormat="1" ht="60">
      <c r="A6" s="74" t="s">
        <v>90</v>
      </c>
      <c r="B6" s="75" t="s">
        <v>93</v>
      </c>
      <c r="C6" s="87" t="s">
        <v>99</v>
      </c>
      <c r="D6" s="87" t="s">
        <v>100</v>
      </c>
      <c r="E6" s="81" t="s">
        <v>96</v>
      </c>
      <c r="F6" s="81" t="s">
        <v>63</v>
      </c>
      <c r="G6" s="81" t="s">
        <v>105</v>
      </c>
      <c r="H6" s="81" t="s">
        <v>69</v>
      </c>
      <c r="I6" s="92" t="b">
        <v>0</v>
      </c>
      <c r="J6" s="89">
        <v>46112</v>
      </c>
      <c r="K6" s="89">
        <v>46386</v>
      </c>
      <c r="L6" s="94" t="s">
        <v>80</v>
      </c>
      <c r="M6" s="94" t="s">
        <v>43</v>
      </c>
      <c r="N6" s="78" t="s">
        <v>42</v>
      </c>
      <c r="O6" s="94" t="s">
        <v>101</v>
      </c>
      <c r="P6" s="94" t="s">
        <v>102</v>
      </c>
      <c r="Q6" s="79"/>
    </row>
    <row r="7" spans="1:17" s="84" customFormat="1" ht="60">
      <c r="A7" s="96" t="s">
        <v>90</v>
      </c>
      <c r="B7" s="97" t="s">
        <v>93</v>
      </c>
      <c r="C7" s="98" t="s">
        <v>109</v>
      </c>
      <c r="D7" s="98" t="s">
        <v>110</v>
      </c>
      <c r="E7" s="99" t="s">
        <v>111</v>
      </c>
      <c r="F7" s="99" t="s">
        <v>63</v>
      </c>
      <c r="G7" s="99" t="s">
        <v>105</v>
      </c>
      <c r="H7" s="99" t="s">
        <v>112</v>
      </c>
      <c r="I7" s="104" t="s">
        <v>113</v>
      </c>
      <c r="J7" s="100">
        <v>46386</v>
      </c>
      <c r="K7" s="100">
        <v>46418</v>
      </c>
      <c r="L7" s="101"/>
      <c r="M7" s="94" t="s">
        <v>43</v>
      </c>
      <c r="N7" s="78" t="s">
        <v>42</v>
      </c>
      <c r="O7" s="102" t="s">
        <v>115</v>
      </c>
      <c r="P7" s="102" t="s">
        <v>116</v>
      </c>
      <c r="Q7" s="103"/>
    </row>
    <row r="8" spans="1:17" s="84" customFormat="1" ht="60">
      <c r="A8" s="74" t="s">
        <v>90</v>
      </c>
      <c r="B8" s="75" t="s">
        <v>93</v>
      </c>
      <c r="C8" s="5" t="s">
        <v>108</v>
      </c>
      <c r="D8" s="5" t="s">
        <v>103</v>
      </c>
      <c r="E8" s="91" t="s">
        <v>104</v>
      </c>
      <c r="F8" s="91" t="s">
        <v>63</v>
      </c>
      <c r="G8" s="91" t="s">
        <v>105</v>
      </c>
      <c r="H8" s="91" t="s">
        <v>69</v>
      </c>
      <c r="I8" s="92" t="b">
        <v>0</v>
      </c>
      <c r="J8" s="93">
        <v>45992</v>
      </c>
      <c r="K8" s="93">
        <v>46142</v>
      </c>
      <c r="L8" s="94"/>
      <c r="M8" s="94" t="s">
        <v>43</v>
      </c>
      <c r="N8" s="78" t="s">
        <v>42</v>
      </c>
      <c r="O8" s="94" t="s">
        <v>106</v>
      </c>
      <c r="P8" s="94" t="s">
        <v>107</v>
      </c>
      <c r="Q8" s="79"/>
    </row>
    <row r="9" spans="1:17" s="84" customFormat="1" ht="15">
      <c r="A9" s="74"/>
      <c r="B9" s="75"/>
      <c r="C9" s="5"/>
      <c r="D9" s="5"/>
      <c r="E9" s="91"/>
      <c r="F9" s="91"/>
      <c r="G9" s="91"/>
      <c r="H9" s="91"/>
      <c r="I9" s="92" t="b">
        <v>0</v>
      </c>
      <c r="J9" s="93"/>
      <c r="K9" s="93"/>
      <c r="L9" s="94"/>
      <c r="M9" s="94"/>
      <c r="N9" s="78" t="s">
        <v>47</v>
      </c>
      <c r="O9" s="94"/>
      <c r="P9" s="94"/>
      <c r="Q9" s="79"/>
    </row>
    <row r="10" spans="1:17" s="84" customFormat="1" ht="15">
      <c r="A10" s="74"/>
      <c r="B10" s="75"/>
      <c r="C10" s="5"/>
      <c r="D10" s="5"/>
      <c r="E10" s="91"/>
      <c r="F10" s="91"/>
      <c r="G10" s="91"/>
      <c r="H10" s="91"/>
      <c r="I10" s="92" t="b">
        <v>0</v>
      </c>
      <c r="J10" s="93"/>
      <c r="K10" s="93"/>
      <c r="L10" s="94"/>
      <c r="M10" s="94"/>
      <c r="N10" s="78"/>
      <c r="O10" s="94"/>
      <c r="P10" s="94"/>
      <c r="Q10" s="79"/>
    </row>
    <row r="11" spans="1:17" s="84" customFormat="1" ht="15">
      <c r="A11" s="74"/>
      <c r="B11" s="75"/>
      <c r="C11" s="5"/>
      <c r="D11" s="5"/>
      <c r="E11" s="91"/>
      <c r="F11" s="91"/>
      <c r="G11" s="91"/>
      <c r="H11" s="91"/>
      <c r="I11" s="92" t="b">
        <v>0</v>
      </c>
      <c r="J11" s="93"/>
      <c r="K11" s="93"/>
      <c r="L11" s="94"/>
      <c r="M11" s="94"/>
      <c r="N11" s="78"/>
      <c r="O11" s="94"/>
      <c r="P11" s="94"/>
      <c r="Q11" s="79"/>
    </row>
    <row r="12" spans="1:17" s="84" customFormat="1" ht="15">
      <c r="A12" s="74"/>
      <c r="B12" s="75"/>
      <c r="C12" s="5"/>
      <c r="D12" s="5"/>
      <c r="E12" s="91"/>
      <c r="F12" s="91"/>
      <c r="G12" s="91"/>
      <c r="H12" s="91"/>
      <c r="I12" s="92" t="b">
        <v>0</v>
      </c>
      <c r="J12" s="93"/>
      <c r="K12" s="93"/>
      <c r="L12" s="94"/>
      <c r="M12" s="94"/>
      <c r="N12" s="78"/>
      <c r="O12" s="94"/>
      <c r="P12" s="94"/>
      <c r="Q12" s="79"/>
    </row>
    <row r="13" spans="1:17" s="84" customFormat="1" ht="15">
      <c r="A13" s="74"/>
      <c r="B13" s="75"/>
      <c r="C13" s="5"/>
      <c r="D13" s="5"/>
      <c r="E13" s="91"/>
      <c r="F13" s="91"/>
      <c r="G13" s="91"/>
      <c r="H13" s="91"/>
      <c r="I13" s="92" t="b">
        <v>0</v>
      </c>
      <c r="J13" s="93"/>
      <c r="K13" s="93"/>
      <c r="L13" s="94"/>
      <c r="M13" s="94"/>
      <c r="N13" s="78"/>
      <c r="O13" s="94"/>
      <c r="P13" s="94"/>
      <c r="Q13" s="79"/>
    </row>
    <row r="14" spans="1:17" s="84" customFormat="1" ht="15">
      <c r="A14" s="74"/>
      <c r="B14" s="75"/>
      <c r="C14" s="5"/>
      <c r="D14" s="5"/>
      <c r="E14" s="91"/>
      <c r="F14" s="91"/>
      <c r="G14" s="91"/>
      <c r="H14" s="91"/>
      <c r="I14" s="92" t="b">
        <v>0</v>
      </c>
      <c r="J14" s="93"/>
      <c r="K14" s="93"/>
      <c r="L14" s="94"/>
      <c r="M14" s="94"/>
      <c r="N14" s="78"/>
      <c r="O14" s="94"/>
      <c r="P14" s="94"/>
      <c r="Q14" s="79"/>
    </row>
    <row r="15" spans="1:17" s="84" customFormat="1" ht="15">
      <c r="A15" s="74"/>
      <c r="B15" s="75"/>
      <c r="C15" s="5"/>
      <c r="D15" s="5"/>
      <c r="E15" s="91"/>
      <c r="F15" s="91"/>
      <c r="G15" s="91"/>
      <c r="H15" s="91"/>
      <c r="I15" s="92" t="b">
        <v>0</v>
      </c>
      <c r="J15" s="93"/>
      <c r="K15" s="93"/>
      <c r="L15" s="94"/>
      <c r="M15" s="94"/>
      <c r="N15" s="78"/>
      <c r="O15" s="94"/>
      <c r="P15" s="94"/>
      <c r="Q15" s="79"/>
    </row>
    <row r="16" spans="1:17" s="84" customFormat="1" ht="15">
      <c r="A16" s="74"/>
      <c r="B16" s="75"/>
      <c r="C16" s="5"/>
      <c r="D16" s="5"/>
      <c r="E16" s="91"/>
      <c r="F16" s="91"/>
      <c r="G16" s="91"/>
      <c r="H16" s="91"/>
      <c r="I16" s="92" t="b">
        <v>0</v>
      </c>
      <c r="J16" s="93"/>
      <c r="K16" s="93"/>
      <c r="L16" s="94"/>
      <c r="M16" s="94"/>
      <c r="N16" s="78"/>
      <c r="O16" s="94"/>
      <c r="P16" s="94"/>
      <c r="Q16" s="79"/>
    </row>
    <row r="17" spans="1:17" s="84" customFormat="1" ht="15">
      <c r="A17" s="74"/>
      <c r="B17" s="75"/>
      <c r="C17" s="5"/>
      <c r="D17" s="5"/>
      <c r="E17" s="91"/>
      <c r="F17" s="91"/>
      <c r="G17" s="91"/>
      <c r="H17" s="91"/>
      <c r="I17" s="92" t="b">
        <v>0</v>
      </c>
      <c r="J17" s="93"/>
      <c r="K17" s="93"/>
      <c r="L17" s="94"/>
      <c r="M17" s="94"/>
      <c r="N17" s="78"/>
      <c r="O17" s="94"/>
      <c r="P17" s="94"/>
      <c r="Q17" s="79"/>
    </row>
    <row r="18" spans="1:17" s="84" customFormat="1" ht="15">
      <c r="A18" s="74"/>
      <c r="B18" s="75"/>
      <c r="C18" s="5"/>
      <c r="D18" s="5"/>
      <c r="E18" s="91"/>
      <c r="F18" s="91"/>
      <c r="G18" s="91"/>
      <c r="H18" s="91"/>
      <c r="I18" s="92" t="b">
        <v>0</v>
      </c>
      <c r="J18" s="93"/>
      <c r="K18" s="93"/>
      <c r="L18" s="94"/>
      <c r="M18" s="94"/>
      <c r="N18" s="78"/>
      <c r="O18" s="94"/>
      <c r="P18" s="94"/>
      <c r="Q18" s="79"/>
    </row>
    <row r="19" spans="1:17" s="84" customFormat="1" ht="15">
      <c r="A19" s="74"/>
      <c r="B19" s="75"/>
      <c r="C19" s="5"/>
      <c r="D19" s="5"/>
      <c r="E19" s="74"/>
      <c r="F19" s="74"/>
      <c r="G19" s="74"/>
      <c r="H19" s="74"/>
      <c r="I19" s="80" t="b">
        <v>0</v>
      </c>
      <c r="J19" s="75"/>
      <c r="K19" s="75"/>
      <c r="L19" s="90"/>
      <c r="M19" s="74"/>
      <c r="N19" s="74"/>
      <c r="O19" s="74"/>
      <c r="P19" s="74"/>
      <c r="Q19" s="79"/>
    </row>
  </sheetData>
  <mergeCells count="2">
    <mergeCell ref="A2:B2"/>
    <mergeCell ref="A3:B3"/>
  </mergeCells>
  <conditionalFormatting sqref="J5:K19">
    <cfRule type="expression" dxfId="115" priority="9">
      <formula>$I5=TRUE</formula>
    </cfRule>
  </conditionalFormatting>
  <conditionalFormatting sqref="M5:M19">
    <cfRule type="containsText" dxfId="114" priority="10" operator="containsText" text="Simultânea">
      <formula>NOT(ISERROR(SEARCH("Simultânea",M5)))</formula>
    </cfRule>
    <cfRule type="containsText" dxfId="113" priority="11" operator="containsText" text="Sucede">
      <formula>NOT(ISERROR(SEARCH("Sucede",M5)))</formula>
    </cfRule>
    <cfRule type="containsText" dxfId="112" priority="12" operator="containsText" text="Antecede">
      <formula>NOT(ISERROR(SEARCH("Antecede",M5)))</formula>
    </cfRule>
  </conditionalFormatting>
  <conditionalFormatting sqref="N5:N18">
    <cfRule type="containsText" dxfId="111" priority="1" operator="containsText" text="Concluída">
      <formula>NOT(ISERROR(SEARCH("Concluída",N5)))</formula>
    </cfRule>
    <cfRule type="containsText" dxfId="110" priority="2" operator="containsText" text="Paralisada">
      <formula>NOT(ISERROR(SEARCH("Paralisada",N5)))</formula>
    </cfRule>
    <cfRule type="containsText" dxfId="109" priority="3" operator="containsText" text="Em execução">
      <formula>NOT(ISERROR(SEARCH("Em execução",N5)))</formula>
    </cfRule>
    <cfRule type="containsText" dxfId="108" priority="4" operator="containsText" text="Não iniciada">
      <formula>NOT(ISERROR(SEARCH("Não iniciada",N5)))</formula>
    </cfRule>
  </conditionalFormatting>
  <dataValidations count="4">
    <dataValidation type="custom" allowBlank="1" showDropDown="1" sqref="B5:B19">
      <formula1>OR(NOT(ISERROR(DATEVALUE(B5))), AND(ISNUMBER(B5), LEFT(CELL("format", B5))="D"))</formula1>
    </dataValidation>
    <dataValidation allowBlank="1" showDropDown="1" sqref="Q5:Q18"/>
    <dataValidation type="list" allowBlank="1" showInputMessage="1" showErrorMessage="1" sqref="M5:M19">
      <formula1>"Antecede,Sucede,Simultânea"</formula1>
    </dataValidation>
    <dataValidation type="list" allowBlank="1" sqref="N5:N19">
      <formula1>"Não iniciada,Em execução,Paralisada,Concluída"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L5:L19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0000"/>
  </sheetPr>
  <dimension ref="A1:Q18"/>
  <sheetViews>
    <sheetView zoomScale="115" zoomScaleNormal="115" workbookViewId="0">
      <selection activeCell="J5" sqref="J5:K6"/>
    </sheetView>
  </sheetViews>
  <sheetFormatPr defaultColWidth="8.875" defaultRowHeight="14.25"/>
  <cols>
    <col min="1" max="6" width="14.375" customWidth="1"/>
    <col min="7" max="7" width="16.625" customWidth="1"/>
    <col min="8" max="17" width="14.375" customWidth="1"/>
  </cols>
  <sheetData>
    <row r="1" spans="1:17" s="31" customFormat="1" ht="21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6"/>
    </row>
    <row r="2" spans="1:17" s="32" customFormat="1" ht="15.6" customHeight="1">
      <c r="A2" s="120" t="s">
        <v>22</v>
      </c>
      <c r="B2" s="121"/>
      <c r="C2" s="34" t="str">
        <f>'1. Domínio Institucional'!C3</f>
        <v>Regulamentação do GT e Politicas</v>
      </c>
      <c r="D2" s="6"/>
      <c r="E2" s="7"/>
      <c r="F2" s="8"/>
      <c r="G2" s="8"/>
      <c r="H2" s="8"/>
      <c r="I2" s="8"/>
      <c r="J2" s="9"/>
      <c r="K2" s="8"/>
      <c r="L2" s="8"/>
      <c r="M2" s="8"/>
      <c r="N2" s="8"/>
      <c r="O2" s="8"/>
      <c r="P2" s="8"/>
      <c r="Q2" s="37"/>
    </row>
    <row r="3" spans="1:17" s="32" customFormat="1" ht="31.5">
      <c r="A3" s="122" t="s">
        <v>23</v>
      </c>
      <c r="B3" s="123"/>
      <c r="C3" s="10" t="s">
        <v>119</v>
      </c>
      <c r="D3" s="10"/>
      <c r="E3" s="11"/>
      <c r="F3" s="12"/>
      <c r="G3" s="12"/>
      <c r="H3" s="12"/>
      <c r="I3" s="12"/>
      <c r="J3" s="13"/>
      <c r="K3" s="12"/>
      <c r="L3" s="12"/>
      <c r="M3" s="12"/>
      <c r="N3" s="12"/>
      <c r="O3" s="12"/>
      <c r="P3" s="12"/>
      <c r="Q3" s="38"/>
    </row>
    <row r="4" spans="1:17" s="33" customFormat="1" ht="43.15" customHeight="1">
      <c r="A4" s="14" t="s">
        <v>24</v>
      </c>
      <c r="B4" s="14" t="s">
        <v>25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30</v>
      </c>
      <c r="H4" s="14" t="s">
        <v>31</v>
      </c>
      <c r="I4" s="14" t="s">
        <v>32</v>
      </c>
      <c r="J4" s="14" t="s">
        <v>33</v>
      </c>
      <c r="K4" s="14" t="s">
        <v>34</v>
      </c>
      <c r="L4" s="14" t="s">
        <v>35</v>
      </c>
      <c r="M4" s="14" t="s">
        <v>36</v>
      </c>
      <c r="N4" s="14" t="s">
        <v>37</v>
      </c>
      <c r="O4" s="14" t="s">
        <v>38</v>
      </c>
      <c r="P4" s="14" t="s">
        <v>39</v>
      </c>
      <c r="Q4" s="39" t="s">
        <v>40</v>
      </c>
    </row>
    <row r="5" spans="1:17" s="110" customFormat="1" ht="75">
      <c r="A5" s="15" t="s">
        <v>90</v>
      </c>
      <c r="B5" s="16" t="s">
        <v>62</v>
      </c>
      <c r="C5" s="105" t="s">
        <v>120</v>
      </c>
      <c r="D5" s="87" t="s">
        <v>121</v>
      </c>
      <c r="E5" s="106" t="s">
        <v>122</v>
      </c>
      <c r="F5" s="106" t="s">
        <v>123</v>
      </c>
      <c r="G5" s="81" t="s">
        <v>124</v>
      </c>
      <c r="H5" s="106" t="s">
        <v>125</v>
      </c>
      <c r="I5" s="107" t="b">
        <v>0</v>
      </c>
      <c r="J5" s="108">
        <v>45985</v>
      </c>
      <c r="K5" s="108">
        <v>46021</v>
      </c>
      <c r="L5" s="15" t="s">
        <v>61</v>
      </c>
      <c r="M5" s="109" t="s">
        <v>43</v>
      </c>
      <c r="N5" s="21" t="s">
        <v>42</v>
      </c>
      <c r="O5" s="90" t="s">
        <v>126</v>
      </c>
      <c r="P5" s="90" t="s">
        <v>127</v>
      </c>
      <c r="Q5" s="40"/>
    </row>
    <row r="6" spans="1:17" s="110" customFormat="1" ht="60">
      <c r="A6" s="22" t="s">
        <v>90</v>
      </c>
      <c r="B6" s="23" t="s">
        <v>62</v>
      </c>
      <c r="C6" s="87" t="s">
        <v>128</v>
      </c>
      <c r="D6" s="87" t="s">
        <v>131</v>
      </c>
      <c r="E6" s="111" t="s">
        <v>129</v>
      </c>
      <c r="F6" s="111" t="s">
        <v>123</v>
      </c>
      <c r="G6" s="111" t="s">
        <v>124</v>
      </c>
      <c r="H6" s="111" t="s">
        <v>69</v>
      </c>
      <c r="I6" s="112" t="b">
        <v>0</v>
      </c>
      <c r="J6" s="113">
        <v>46037</v>
      </c>
      <c r="K6" s="113">
        <v>46066</v>
      </c>
      <c r="L6" s="114" t="s">
        <v>80</v>
      </c>
      <c r="M6" s="114" t="s">
        <v>43</v>
      </c>
      <c r="N6" s="28" t="s">
        <v>42</v>
      </c>
      <c r="O6" s="94" t="s">
        <v>130</v>
      </c>
      <c r="P6" s="114"/>
      <c r="Q6" s="41"/>
    </row>
    <row r="7" spans="1:17" s="32" customFormat="1" ht="15">
      <c r="A7" s="22"/>
      <c r="B7" s="23"/>
      <c r="C7" s="29"/>
      <c r="D7" s="29"/>
      <c r="E7" s="24"/>
      <c r="F7" s="24"/>
      <c r="G7" s="24"/>
      <c r="H7" s="24"/>
      <c r="I7" s="25" t="b">
        <v>0</v>
      </c>
      <c r="J7" s="26"/>
      <c r="K7" s="26"/>
      <c r="L7" s="27"/>
      <c r="M7" s="27" t="s">
        <v>45</v>
      </c>
      <c r="N7" s="28" t="s">
        <v>46</v>
      </c>
      <c r="O7" s="27"/>
      <c r="P7" s="27"/>
      <c r="Q7" s="41"/>
    </row>
    <row r="8" spans="1:17" s="32" customFormat="1" ht="15">
      <c r="A8" s="22"/>
      <c r="B8" s="23"/>
      <c r="C8" s="29"/>
      <c r="D8" s="29"/>
      <c r="E8" s="24"/>
      <c r="F8" s="24"/>
      <c r="G8" s="24"/>
      <c r="H8" s="24"/>
      <c r="I8" s="25" t="b">
        <v>0</v>
      </c>
      <c r="J8" s="26"/>
      <c r="K8" s="26"/>
      <c r="L8" s="27"/>
      <c r="M8" s="27"/>
      <c r="N8" s="28" t="s">
        <v>47</v>
      </c>
      <c r="O8" s="27"/>
      <c r="P8" s="27"/>
      <c r="Q8" s="41"/>
    </row>
    <row r="9" spans="1:17" s="32" customFormat="1" ht="15">
      <c r="A9" s="22"/>
      <c r="B9" s="23"/>
      <c r="C9" s="29"/>
      <c r="D9" s="29"/>
      <c r="E9" s="24"/>
      <c r="F9" s="24"/>
      <c r="G9" s="24"/>
      <c r="H9" s="24"/>
      <c r="I9" s="25" t="b">
        <v>0</v>
      </c>
      <c r="J9" s="26"/>
      <c r="K9" s="26"/>
      <c r="L9" s="27"/>
      <c r="M9" s="27"/>
      <c r="N9" s="28"/>
      <c r="O9" s="27"/>
      <c r="P9" s="27"/>
      <c r="Q9" s="41"/>
    </row>
    <row r="10" spans="1:17" s="32" customFormat="1" ht="15">
      <c r="A10" s="22"/>
      <c r="B10" s="23"/>
      <c r="C10" s="29"/>
      <c r="D10" s="29"/>
      <c r="E10" s="24"/>
      <c r="F10" s="24"/>
      <c r="G10" s="24"/>
      <c r="H10" s="24"/>
      <c r="I10" s="25" t="b">
        <v>0</v>
      </c>
      <c r="J10" s="26"/>
      <c r="K10" s="26"/>
      <c r="L10" s="27"/>
      <c r="M10" s="27"/>
      <c r="N10" s="28"/>
      <c r="O10" s="27"/>
      <c r="P10" s="27"/>
      <c r="Q10" s="41"/>
    </row>
    <row r="11" spans="1:17" s="32" customFormat="1" ht="15">
      <c r="A11" s="22"/>
      <c r="B11" s="23"/>
      <c r="C11" s="29"/>
      <c r="D11" s="29"/>
      <c r="E11" s="24"/>
      <c r="F11" s="24"/>
      <c r="G11" s="24"/>
      <c r="H11" s="24"/>
      <c r="I11" s="25" t="b">
        <v>0</v>
      </c>
      <c r="J11" s="26"/>
      <c r="K11" s="26"/>
      <c r="L11" s="27"/>
      <c r="M11" s="27"/>
      <c r="N11" s="28"/>
      <c r="O11" s="27"/>
      <c r="P11" s="27"/>
      <c r="Q11" s="41"/>
    </row>
    <row r="12" spans="1:17" s="32" customFormat="1" ht="15">
      <c r="A12" s="22"/>
      <c r="B12" s="23"/>
      <c r="C12" s="29"/>
      <c r="D12" s="29"/>
      <c r="E12" s="24"/>
      <c r="F12" s="24"/>
      <c r="G12" s="24"/>
      <c r="H12" s="24"/>
      <c r="I12" s="25" t="b">
        <v>0</v>
      </c>
      <c r="J12" s="26"/>
      <c r="K12" s="26"/>
      <c r="L12" s="27"/>
      <c r="M12" s="27"/>
      <c r="N12" s="28"/>
      <c r="O12" s="27"/>
      <c r="P12" s="27"/>
      <c r="Q12" s="41"/>
    </row>
    <row r="13" spans="1:17" s="32" customFormat="1" ht="15">
      <c r="A13" s="22"/>
      <c r="B13" s="23"/>
      <c r="C13" s="29"/>
      <c r="D13" s="29"/>
      <c r="E13" s="24"/>
      <c r="F13" s="24"/>
      <c r="G13" s="24"/>
      <c r="H13" s="24"/>
      <c r="I13" s="25" t="b">
        <v>0</v>
      </c>
      <c r="J13" s="26"/>
      <c r="K13" s="26"/>
      <c r="L13" s="27"/>
      <c r="M13" s="27"/>
      <c r="N13" s="28"/>
      <c r="O13" s="27"/>
      <c r="P13" s="27"/>
      <c r="Q13" s="41"/>
    </row>
    <row r="14" spans="1:17" s="32" customFormat="1" ht="15">
      <c r="A14" s="22"/>
      <c r="B14" s="23"/>
      <c r="C14" s="29"/>
      <c r="D14" s="29"/>
      <c r="E14" s="24"/>
      <c r="F14" s="24"/>
      <c r="G14" s="24"/>
      <c r="H14" s="24"/>
      <c r="I14" s="25" t="b">
        <v>0</v>
      </c>
      <c r="J14" s="26"/>
      <c r="K14" s="26"/>
      <c r="L14" s="27"/>
      <c r="M14" s="27"/>
      <c r="N14" s="28"/>
      <c r="O14" s="27"/>
      <c r="P14" s="27"/>
      <c r="Q14" s="41"/>
    </row>
    <row r="15" spans="1:17" s="32" customFormat="1" ht="15">
      <c r="A15" s="22"/>
      <c r="B15" s="23"/>
      <c r="C15" s="29"/>
      <c r="D15" s="29"/>
      <c r="E15" s="24"/>
      <c r="F15" s="24"/>
      <c r="G15" s="24"/>
      <c r="H15" s="24"/>
      <c r="I15" s="25" t="b">
        <v>0</v>
      </c>
      <c r="J15" s="26"/>
      <c r="K15" s="26"/>
      <c r="L15" s="27"/>
      <c r="M15" s="27"/>
      <c r="N15" s="28"/>
      <c r="O15" s="27"/>
      <c r="P15" s="27"/>
      <c r="Q15" s="41"/>
    </row>
    <row r="16" spans="1:17" s="32" customFormat="1" ht="15">
      <c r="A16" s="22"/>
      <c r="B16" s="23"/>
      <c r="C16" s="29"/>
      <c r="D16" s="29"/>
      <c r="E16" s="24"/>
      <c r="F16" s="24"/>
      <c r="G16" s="24"/>
      <c r="H16" s="24"/>
      <c r="I16" s="25" t="b">
        <v>0</v>
      </c>
      <c r="J16" s="26"/>
      <c r="K16" s="26"/>
      <c r="L16" s="27"/>
      <c r="M16" s="27"/>
      <c r="N16" s="28"/>
      <c r="O16" s="27"/>
      <c r="P16" s="27"/>
      <c r="Q16" s="41"/>
    </row>
    <row r="17" spans="1:17" s="32" customFormat="1" ht="15">
      <c r="A17" s="22"/>
      <c r="B17" s="23"/>
      <c r="C17" s="29"/>
      <c r="D17" s="29"/>
      <c r="E17" s="24"/>
      <c r="F17" s="24"/>
      <c r="G17" s="24"/>
      <c r="H17" s="24"/>
      <c r="I17" s="25" t="b">
        <v>0</v>
      </c>
      <c r="J17" s="26"/>
      <c r="K17" s="26"/>
      <c r="L17" s="27"/>
      <c r="M17" s="27"/>
      <c r="N17" s="28"/>
      <c r="O17" s="27"/>
      <c r="P17" s="27"/>
      <c r="Q17" s="41"/>
    </row>
    <row r="18" spans="1:17" s="32" customFormat="1" ht="15">
      <c r="A18" s="22"/>
      <c r="B18" s="23"/>
      <c r="C18" s="29"/>
      <c r="D18" s="29"/>
      <c r="E18" s="22"/>
      <c r="F18" s="22"/>
      <c r="G18" s="22"/>
      <c r="H18" s="22"/>
      <c r="I18" s="30" t="b">
        <v>0</v>
      </c>
      <c r="J18" s="23"/>
      <c r="K18" s="23"/>
      <c r="L18" s="20"/>
      <c r="M18" s="22"/>
      <c r="N18" s="22"/>
      <c r="O18" s="22"/>
      <c r="P18" s="22"/>
      <c r="Q18" s="41"/>
    </row>
  </sheetData>
  <mergeCells count="2">
    <mergeCell ref="A2:B2"/>
    <mergeCell ref="A3:B3"/>
  </mergeCells>
  <conditionalFormatting sqref="J5:K18">
    <cfRule type="expression" dxfId="86" priority="9">
      <formula>$I5=TRUE</formula>
    </cfRule>
  </conditionalFormatting>
  <conditionalFormatting sqref="M5:M18">
    <cfRule type="containsText" dxfId="85" priority="10" operator="containsText" text="Simultânea">
      <formula>NOT(ISERROR(SEARCH("Simultânea",M5)))</formula>
    </cfRule>
    <cfRule type="containsText" dxfId="84" priority="11" operator="containsText" text="Sucede">
      <formula>NOT(ISERROR(SEARCH("Sucede",M5)))</formula>
    </cfRule>
    <cfRule type="containsText" dxfId="83" priority="12" operator="containsText" text="Antecede">
      <formula>NOT(ISERROR(SEARCH("Antecede",M5)))</formula>
    </cfRule>
  </conditionalFormatting>
  <conditionalFormatting sqref="N5:N17">
    <cfRule type="containsText" dxfId="82" priority="1" operator="containsText" text="Concluída">
      <formula>NOT(ISERROR(SEARCH("Concluída",N5)))</formula>
    </cfRule>
    <cfRule type="containsText" dxfId="81" priority="2" operator="containsText" text="Paralisada">
      <formula>NOT(ISERROR(SEARCH("Paralisada",N5)))</formula>
    </cfRule>
    <cfRule type="containsText" dxfId="80" priority="3" operator="containsText" text="Em execução">
      <formula>NOT(ISERROR(SEARCH("Em execução",N5)))</formula>
    </cfRule>
    <cfRule type="containsText" dxfId="79" priority="4" operator="containsText" text="Não iniciada">
      <formula>NOT(ISERROR(SEARCH("Não iniciada",N5)))</formula>
    </cfRule>
  </conditionalFormatting>
  <dataValidations count="4">
    <dataValidation type="list" allowBlank="1" showInputMessage="1" showErrorMessage="1" sqref="M5:M18">
      <formula1>"Antecede,Sucede,Simultânea"</formula1>
    </dataValidation>
    <dataValidation allowBlank="1" showDropDown="1" sqref="Q5:Q17"/>
    <dataValidation type="custom" allowBlank="1" showDropDown="1" sqref="B5:B18">
      <formula1>OR(NOT(ISERROR(DATEVALUE(B5))), AND(ISNUMBER(B5), LEFT(CELL("format", B5))="D"))</formula1>
    </dataValidation>
    <dataValidation type="list" allowBlank="1" sqref="N5:N18">
      <formula1>"Não iniciada,Em execução,Paralisada,Concluída"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L5:L18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0000"/>
  </sheetPr>
  <dimension ref="A1:Q18"/>
  <sheetViews>
    <sheetView workbookViewId="0">
      <selection activeCell="J5" sqref="J5:K6"/>
    </sheetView>
  </sheetViews>
  <sheetFormatPr defaultColWidth="8.875" defaultRowHeight="14.25"/>
  <cols>
    <col min="1" max="17" width="14.375" customWidth="1"/>
  </cols>
  <sheetData>
    <row r="1" spans="1:17" s="31" customFormat="1" ht="21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6"/>
    </row>
    <row r="2" spans="1:17" s="32" customFormat="1" ht="15.6" customHeight="1">
      <c r="A2" s="120" t="s">
        <v>22</v>
      </c>
      <c r="B2" s="121"/>
      <c r="C2" s="34" t="str">
        <f>'1. Domínio Institucional'!C3</f>
        <v>Regulamentação do GT e Politicas</v>
      </c>
      <c r="D2" s="6"/>
      <c r="E2" s="7"/>
      <c r="F2" s="8"/>
      <c r="G2" s="8"/>
      <c r="H2" s="8"/>
      <c r="I2" s="8"/>
      <c r="J2" s="9"/>
      <c r="K2" s="8"/>
      <c r="L2" s="8"/>
      <c r="M2" s="8"/>
      <c r="N2" s="8"/>
      <c r="O2" s="8"/>
      <c r="P2" s="8"/>
      <c r="Q2" s="37"/>
    </row>
    <row r="3" spans="1:17" s="32" customFormat="1" ht="15.75">
      <c r="A3" s="122" t="s">
        <v>23</v>
      </c>
      <c r="B3" s="123"/>
      <c r="C3" s="35" t="s">
        <v>132</v>
      </c>
      <c r="D3" s="10"/>
      <c r="E3" s="11"/>
      <c r="F3" s="12"/>
      <c r="G3" s="12"/>
      <c r="H3" s="12"/>
      <c r="I3" s="12"/>
      <c r="J3" s="13"/>
      <c r="K3" s="12"/>
      <c r="L3" s="12"/>
      <c r="M3" s="12"/>
      <c r="N3" s="12"/>
      <c r="O3" s="12"/>
      <c r="P3" s="12"/>
      <c r="Q3" s="38"/>
    </row>
    <row r="4" spans="1:17" s="33" customFormat="1" ht="43.15" customHeight="1">
      <c r="A4" s="14" t="s">
        <v>24</v>
      </c>
      <c r="B4" s="14" t="s">
        <v>25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30</v>
      </c>
      <c r="H4" s="14" t="s">
        <v>31</v>
      </c>
      <c r="I4" s="14" t="s">
        <v>32</v>
      </c>
      <c r="J4" s="14" t="s">
        <v>33</v>
      </c>
      <c r="K4" s="14" t="s">
        <v>34</v>
      </c>
      <c r="L4" s="14" t="s">
        <v>35</v>
      </c>
      <c r="M4" s="14" t="s">
        <v>36</v>
      </c>
      <c r="N4" s="14" t="s">
        <v>37</v>
      </c>
      <c r="O4" s="14" t="s">
        <v>38</v>
      </c>
      <c r="P4" s="14" t="s">
        <v>39</v>
      </c>
      <c r="Q4" s="39" t="s">
        <v>40</v>
      </c>
    </row>
    <row r="5" spans="1:17" s="64" customFormat="1" ht="45">
      <c r="A5" s="65" t="s">
        <v>90</v>
      </c>
      <c r="B5" s="66" t="s">
        <v>62</v>
      </c>
      <c r="C5" s="67" t="s">
        <v>133</v>
      </c>
      <c r="D5" s="67" t="s">
        <v>134</v>
      </c>
      <c r="E5" s="68" t="s">
        <v>69</v>
      </c>
      <c r="F5" s="68" t="s">
        <v>123</v>
      </c>
      <c r="G5" s="68" t="s">
        <v>135</v>
      </c>
      <c r="H5" s="68" t="s">
        <v>69</v>
      </c>
      <c r="I5" s="69" t="b">
        <v>0</v>
      </c>
      <c r="J5" s="70">
        <v>45992</v>
      </c>
      <c r="K5" s="70">
        <v>46006</v>
      </c>
      <c r="L5" s="65" t="s">
        <v>80</v>
      </c>
      <c r="M5" s="71" t="s">
        <v>43</v>
      </c>
      <c r="N5" s="72" t="s">
        <v>42</v>
      </c>
      <c r="O5" s="71" t="s">
        <v>136</v>
      </c>
      <c r="P5" s="71"/>
      <c r="Q5" s="73"/>
    </row>
    <row r="6" spans="1:17" s="32" customFormat="1" ht="60">
      <c r="A6" s="22" t="s">
        <v>90</v>
      </c>
      <c r="B6" s="23" t="s">
        <v>62</v>
      </c>
      <c r="C6" s="67" t="s">
        <v>137</v>
      </c>
      <c r="D6" s="67" t="s">
        <v>138</v>
      </c>
      <c r="E6" s="24" t="s">
        <v>69</v>
      </c>
      <c r="F6" s="24" t="s">
        <v>135</v>
      </c>
      <c r="G6" s="24" t="s">
        <v>69</v>
      </c>
      <c r="H6" s="76" t="s">
        <v>139</v>
      </c>
      <c r="I6" s="25" t="b">
        <v>0</v>
      </c>
      <c r="J6" s="26">
        <v>46054</v>
      </c>
      <c r="K6" s="26">
        <v>46081</v>
      </c>
      <c r="L6" s="27" t="s">
        <v>80</v>
      </c>
      <c r="M6" s="27" t="s">
        <v>43</v>
      </c>
      <c r="N6" s="28" t="s">
        <v>42</v>
      </c>
      <c r="O6" s="77" t="s">
        <v>140</v>
      </c>
      <c r="P6" s="27"/>
      <c r="Q6" s="41"/>
    </row>
    <row r="7" spans="1:17" s="32" customFormat="1" ht="15">
      <c r="A7" s="22"/>
      <c r="B7" s="23"/>
      <c r="C7" s="29"/>
      <c r="D7" s="29"/>
      <c r="E7" s="24"/>
      <c r="F7" s="24"/>
      <c r="G7" s="24"/>
      <c r="H7" s="24"/>
      <c r="I7" s="25" t="b">
        <v>0</v>
      </c>
      <c r="J7" s="26"/>
      <c r="K7" s="26"/>
      <c r="L7" s="27"/>
      <c r="M7" s="27" t="s">
        <v>45</v>
      </c>
      <c r="N7" s="28" t="s">
        <v>46</v>
      </c>
      <c r="O7" s="27"/>
      <c r="P7" s="27"/>
      <c r="Q7" s="41"/>
    </row>
    <row r="8" spans="1:17" s="32" customFormat="1" ht="15">
      <c r="A8" s="22"/>
      <c r="B8" s="23"/>
      <c r="C8" s="29"/>
      <c r="D8" s="29"/>
      <c r="E8" s="24"/>
      <c r="F8" s="24"/>
      <c r="G8" s="24"/>
      <c r="H8" s="24"/>
      <c r="I8" s="25" t="b">
        <v>0</v>
      </c>
      <c r="J8" s="26"/>
      <c r="K8" s="26"/>
      <c r="L8" s="27"/>
      <c r="M8" s="27"/>
      <c r="N8" s="28" t="s">
        <v>47</v>
      </c>
      <c r="O8" s="27"/>
      <c r="P8" s="27"/>
      <c r="Q8" s="41"/>
    </row>
    <row r="9" spans="1:17" s="32" customFormat="1" ht="15">
      <c r="A9" s="22"/>
      <c r="B9" s="23"/>
      <c r="C9" s="29"/>
      <c r="D9" s="29"/>
      <c r="E9" s="24"/>
      <c r="F9" s="24"/>
      <c r="G9" s="24"/>
      <c r="H9" s="24"/>
      <c r="I9" s="25" t="b">
        <v>0</v>
      </c>
      <c r="J9" s="26"/>
      <c r="K9" s="26"/>
      <c r="L9" s="27"/>
      <c r="M9" s="27"/>
      <c r="N9" s="28"/>
      <c r="O9" s="27"/>
      <c r="P9" s="27"/>
      <c r="Q9" s="41"/>
    </row>
    <row r="10" spans="1:17" s="32" customFormat="1" ht="15">
      <c r="A10" s="22"/>
      <c r="B10" s="23"/>
      <c r="C10" s="29"/>
      <c r="D10" s="29"/>
      <c r="E10" s="24"/>
      <c r="F10" s="24"/>
      <c r="G10" s="24"/>
      <c r="H10" s="24"/>
      <c r="I10" s="25" t="b">
        <v>0</v>
      </c>
      <c r="J10" s="26"/>
      <c r="K10" s="26"/>
      <c r="L10" s="27"/>
      <c r="M10" s="27"/>
      <c r="N10" s="28"/>
      <c r="O10" s="27"/>
      <c r="P10" s="27"/>
      <c r="Q10" s="41"/>
    </row>
    <row r="11" spans="1:17" s="32" customFormat="1" ht="15">
      <c r="A11" s="22"/>
      <c r="B11" s="23"/>
      <c r="C11" s="29"/>
      <c r="D11" s="29"/>
      <c r="E11" s="24"/>
      <c r="F11" s="24"/>
      <c r="G11" s="24"/>
      <c r="H11" s="24"/>
      <c r="I11" s="25" t="b">
        <v>0</v>
      </c>
      <c r="J11" s="26"/>
      <c r="K11" s="26"/>
      <c r="L11" s="27"/>
      <c r="M11" s="27"/>
      <c r="N11" s="28"/>
      <c r="O11" s="27"/>
      <c r="P11" s="27"/>
      <c r="Q11" s="41"/>
    </row>
    <row r="12" spans="1:17" s="32" customFormat="1" ht="15">
      <c r="A12" s="22"/>
      <c r="B12" s="23"/>
      <c r="C12" s="29"/>
      <c r="D12" s="29"/>
      <c r="E12" s="24"/>
      <c r="F12" s="24"/>
      <c r="G12" s="24"/>
      <c r="H12" s="24"/>
      <c r="I12" s="25" t="b">
        <v>0</v>
      </c>
      <c r="J12" s="26"/>
      <c r="K12" s="26"/>
      <c r="L12" s="27"/>
      <c r="M12" s="27"/>
      <c r="N12" s="28"/>
      <c r="O12" s="27"/>
      <c r="P12" s="27"/>
      <c r="Q12" s="41"/>
    </row>
    <row r="13" spans="1:17" s="32" customFormat="1" ht="15">
      <c r="A13" s="22"/>
      <c r="B13" s="23"/>
      <c r="C13" s="29"/>
      <c r="D13" s="29"/>
      <c r="E13" s="24"/>
      <c r="F13" s="24"/>
      <c r="G13" s="24"/>
      <c r="H13" s="24"/>
      <c r="I13" s="25" t="b">
        <v>0</v>
      </c>
      <c r="J13" s="26"/>
      <c r="K13" s="26"/>
      <c r="L13" s="27"/>
      <c r="M13" s="27"/>
      <c r="N13" s="28"/>
      <c r="O13" s="27"/>
      <c r="P13" s="27"/>
      <c r="Q13" s="41"/>
    </row>
    <row r="14" spans="1:17" s="32" customFormat="1" ht="15">
      <c r="A14" s="22"/>
      <c r="B14" s="23"/>
      <c r="C14" s="29"/>
      <c r="D14" s="29"/>
      <c r="E14" s="24"/>
      <c r="F14" s="24"/>
      <c r="G14" s="24"/>
      <c r="H14" s="24"/>
      <c r="I14" s="25" t="b">
        <v>0</v>
      </c>
      <c r="J14" s="26"/>
      <c r="K14" s="26"/>
      <c r="L14" s="27"/>
      <c r="M14" s="27"/>
      <c r="N14" s="28"/>
      <c r="O14" s="27"/>
      <c r="P14" s="27"/>
      <c r="Q14" s="41"/>
    </row>
    <row r="15" spans="1:17" s="32" customFormat="1" ht="15">
      <c r="A15" s="22"/>
      <c r="B15" s="23"/>
      <c r="C15" s="29"/>
      <c r="D15" s="29"/>
      <c r="E15" s="24"/>
      <c r="F15" s="24"/>
      <c r="G15" s="24"/>
      <c r="H15" s="24"/>
      <c r="I15" s="25" t="b">
        <v>0</v>
      </c>
      <c r="J15" s="26"/>
      <c r="K15" s="26"/>
      <c r="L15" s="27"/>
      <c r="M15" s="27"/>
      <c r="N15" s="28"/>
      <c r="O15" s="27"/>
      <c r="P15" s="27"/>
      <c r="Q15" s="41"/>
    </row>
    <row r="16" spans="1:17" s="32" customFormat="1" ht="15">
      <c r="A16" s="22"/>
      <c r="B16" s="23"/>
      <c r="C16" s="29"/>
      <c r="D16" s="29"/>
      <c r="E16" s="24"/>
      <c r="F16" s="24"/>
      <c r="G16" s="24"/>
      <c r="H16" s="24"/>
      <c r="I16" s="25" t="b">
        <v>0</v>
      </c>
      <c r="J16" s="26"/>
      <c r="K16" s="26"/>
      <c r="L16" s="27"/>
      <c r="M16" s="27"/>
      <c r="N16" s="28"/>
      <c r="O16" s="27"/>
      <c r="P16" s="27"/>
      <c r="Q16" s="41"/>
    </row>
    <row r="17" spans="1:17" s="32" customFormat="1" ht="15">
      <c r="A17" s="22"/>
      <c r="B17" s="23"/>
      <c r="C17" s="29"/>
      <c r="D17" s="29"/>
      <c r="E17" s="24"/>
      <c r="F17" s="24"/>
      <c r="G17" s="24"/>
      <c r="H17" s="24"/>
      <c r="I17" s="25" t="b">
        <v>0</v>
      </c>
      <c r="J17" s="26"/>
      <c r="K17" s="26"/>
      <c r="L17" s="27"/>
      <c r="M17" s="27"/>
      <c r="N17" s="28"/>
      <c r="O17" s="27"/>
      <c r="P17" s="27"/>
      <c r="Q17" s="41"/>
    </row>
    <row r="18" spans="1:17" s="32" customFormat="1" ht="15">
      <c r="A18" s="22"/>
      <c r="B18" s="23"/>
      <c r="C18" s="29"/>
      <c r="D18" s="29"/>
      <c r="E18" s="22"/>
      <c r="F18" s="22"/>
      <c r="G18" s="22"/>
      <c r="H18" s="22"/>
      <c r="I18" s="30" t="b">
        <v>0</v>
      </c>
      <c r="J18" s="23"/>
      <c r="K18" s="23"/>
      <c r="L18" s="20"/>
      <c r="M18" s="22"/>
      <c r="N18" s="22"/>
      <c r="O18" s="22"/>
      <c r="P18" s="22"/>
      <c r="Q18" s="41"/>
    </row>
  </sheetData>
  <mergeCells count="2">
    <mergeCell ref="A2:B2"/>
    <mergeCell ref="A3:B3"/>
  </mergeCells>
  <conditionalFormatting sqref="J5:K18">
    <cfRule type="expression" dxfId="57" priority="9">
      <formula>$I5=TRUE</formula>
    </cfRule>
  </conditionalFormatting>
  <conditionalFormatting sqref="M5:M18">
    <cfRule type="containsText" dxfId="56" priority="10" operator="containsText" text="Simultânea">
      <formula>NOT(ISERROR(SEARCH("Simultânea",M5)))</formula>
    </cfRule>
    <cfRule type="containsText" dxfId="55" priority="11" operator="containsText" text="Sucede">
      <formula>NOT(ISERROR(SEARCH("Sucede",M5)))</formula>
    </cfRule>
    <cfRule type="containsText" dxfId="54" priority="12" operator="containsText" text="Antecede">
      <formula>NOT(ISERROR(SEARCH("Antecede",M5)))</formula>
    </cfRule>
  </conditionalFormatting>
  <conditionalFormatting sqref="N5:N17">
    <cfRule type="containsText" dxfId="53" priority="1" operator="containsText" text="Concluída">
      <formula>NOT(ISERROR(SEARCH("Concluída",N5)))</formula>
    </cfRule>
    <cfRule type="containsText" dxfId="52" priority="2" operator="containsText" text="Paralisada">
      <formula>NOT(ISERROR(SEARCH("Paralisada",N5)))</formula>
    </cfRule>
    <cfRule type="containsText" dxfId="51" priority="3" operator="containsText" text="Em execução">
      <formula>NOT(ISERROR(SEARCH("Em execução",N5)))</formula>
    </cfRule>
    <cfRule type="containsText" dxfId="50" priority="4" operator="containsText" text="Não iniciada">
      <formula>NOT(ISERROR(SEARCH("Não iniciada",N5)))</formula>
    </cfRule>
  </conditionalFormatting>
  <dataValidations count="4">
    <dataValidation type="custom" allowBlank="1" showDropDown="1" sqref="B5:B18">
      <formula1>OR(NOT(ISERROR(DATEVALUE(B5))), AND(ISNUMBER(B5), LEFT(CELL("format", B5))="D"))</formula1>
    </dataValidation>
    <dataValidation allowBlank="1" showDropDown="1" sqref="Q5:Q17"/>
    <dataValidation type="list" allowBlank="1" showInputMessage="1" showErrorMessage="1" sqref="M5:M18">
      <formula1>"Antecede,Sucede,Simultânea"</formula1>
    </dataValidation>
    <dataValidation type="list" allowBlank="1" sqref="N5:N18">
      <formula1>"Não iniciada,Em execução,Paralisada,Concluída"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L5:L18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0000"/>
  </sheetPr>
  <dimension ref="A1:Q18"/>
  <sheetViews>
    <sheetView tabSelected="1" workbookViewId="0">
      <selection activeCell="M12" sqref="M12"/>
    </sheetView>
  </sheetViews>
  <sheetFormatPr defaultColWidth="8.875" defaultRowHeight="14.25"/>
  <cols>
    <col min="1" max="17" width="14.375" customWidth="1"/>
  </cols>
  <sheetData>
    <row r="1" spans="1:17" s="31" customFormat="1" ht="21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6"/>
    </row>
    <row r="2" spans="1:17" s="32" customFormat="1" ht="15.6" customHeight="1">
      <c r="A2" s="120" t="s">
        <v>22</v>
      </c>
      <c r="B2" s="121"/>
      <c r="C2" s="34" t="str">
        <f>'1. Domínio Institucional'!C3</f>
        <v>Regulamentação do GT e Politicas</v>
      </c>
      <c r="D2" s="6"/>
      <c r="E2" s="7"/>
      <c r="F2" s="8"/>
      <c r="G2" s="8"/>
      <c r="H2" s="8"/>
      <c r="I2" s="8"/>
      <c r="J2" s="9"/>
      <c r="K2" s="8"/>
      <c r="L2" s="8"/>
      <c r="M2" s="8"/>
      <c r="N2" s="8"/>
      <c r="O2" s="8"/>
      <c r="P2" s="8"/>
      <c r="Q2" s="37"/>
    </row>
    <row r="3" spans="1:17" s="32" customFormat="1" ht="15.75">
      <c r="A3" s="122" t="s">
        <v>23</v>
      </c>
      <c r="B3" s="123"/>
      <c r="C3" s="35" t="s">
        <v>141</v>
      </c>
      <c r="D3" s="10"/>
      <c r="E3" s="11"/>
      <c r="F3" s="12"/>
      <c r="G3" s="12"/>
      <c r="H3" s="12"/>
      <c r="I3" s="12"/>
      <c r="J3" s="13"/>
      <c r="K3" s="12"/>
      <c r="L3" s="12"/>
      <c r="M3" s="12"/>
      <c r="N3" s="12"/>
      <c r="O3" s="12"/>
      <c r="P3" s="12"/>
      <c r="Q3" s="38"/>
    </row>
    <row r="4" spans="1:17" s="33" customFormat="1" ht="43.15" customHeight="1">
      <c r="A4" s="14" t="s">
        <v>24</v>
      </c>
      <c r="B4" s="14" t="s">
        <v>25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30</v>
      </c>
      <c r="H4" s="14" t="s">
        <v>31</v>
      </c>
      <c r="I4" s="14" t="s">
        <v>32</v>
      </c>
      <c r="J4" s="14" t="s">
        <v>33</v>
      </c>
      <c r="K4" s="14" t="s">
        <v>34</v>
      </c>
      <c r="L4" s="14" t="s">
        <v>35</v>
      </c>
      <c r="M4" s="14" t="s">
        <v>36</v>
      </c>
      <c r="N4" s="14" t="s">
        <v>37</v>
      </c>
      <c r="O4" s="14" t="s">
        <v>38</v>
      </c>
      <c r="P4" s="14" t="s">
        <v>39</v>
      </c>
      <c r="Q4" s="39" t="s">
        <v>40</v>
      </c>
    </row>
    <row r="5" spans="1:17" s="32" customFormat="1" ht="45">
      <c r="A5" s="15" t="s">
        <v>90</v>
      </c>
      <c r="B5" s="16" t="s">
        <v>62</v>
      </c>
      <c r="C5" s="109" t="s">
        <v>142</v>
      </c>
      <c r="D5" s="67" t="s">
        <v>143</v>
      </c>
      <c r="E5" s="17" t="s">
        <v>69</v>
      </c>
      <c r="F5" s="106" t="s">
        <v>69</v>
      </c>
      <c r="G5" s="17" t="s">
        <v>144</v>
      </c>
      <c r="H5" s="17" t="s">
        <v>112</v>
      </c>
      <c r="I5" s="18" t="b">
        <v>0</v>
      </c>
      <c r="J5" s="19">
        <v>46083</v>
      </c>
      <c r="K5" s="19">
        <v>46142</v>
      </c>
      <c r="L5" s="15" t="s">
        <v>120</v>
      </c>
      <c r="M5" s="20" t="s">
        <v>43</v>
      </c>
      <c r="N5" s="21" t="s">
        <v>42</v>
      </c>
      <c r="O5" s="71" t="s">
        <v>145</v>
      </c>
      <c r="P5" s="20"/>
      <c r="Q5" s="40"/>
    </row>
    <row r="6" spans="1:17" s="32" customFormat="1" ht="45">
      <c r="A6" s="22" t="s">
        <v>90</v>
      </c>
      <c r="B6" s="23" t="s">
        <v>62</v>
      </c>
      <c r="C6" s="67" t="s">
        <v>146</v>
      </c>
      <c r="D6" s="67" t="s">
        <v>152</v>
      </c>
      <c r="E6" s="24" t="s">
        <v>69</v>
      </c>
      <c r="F6" s="111" t="s">
        <v>125</v>
      </c>
      <c r="G6" s="24" t="s">
        <v>147</v>
      </c>
      <c r="H6" s="24" t="s">
        <v>112</v>
      </c>
      <c r="I6" s="25" t="b">
        <v>0</v>
      </c>
      <c r="J6" s="26">
        <v>46157</v>
      </c>
      <c r="K6" s="26">
        <v>46203</v>
      </c>
      <c r="L6" s="27" t="s">
        <v>142</v>
      </c>
      <c r="M6" s="27" t="s">
        <v>43</v>
      </c>
      <c r="N6" s="28" t="s">
        <v>42</v>
      </c>
      <c r="O6" s="77" t="s">
        <v>148</v>
      </c>
      <c r="P6" s="27" t="s">
        <v>149</v>
      </c>
      <c r="Q6" s="41"/>
    </row>
    <row r="7" spans="1:17" s="32" customFormat="1" ht="45">
      <c r="A7" s="22" t="s">
        <v>90</v>
      </c>
      <c r="B7" s="23" t="s">
        <v>62</v>
      </c>
      <c r="C7" s="115" t="s">
        <v>150</v>
      </c>
      <c r="D7" s="116" t="s">
        <v>151</v>
      </c>
      <c r="E7" s="111" t="s">
        <v>69</v>
      </c>
      <c r="F7" s="111" t="s">
        <v>69</v>
      </c>
      <c r="G7" s="111" t="s">
        <v>69</v>
      </c>
      <c r="H7" s="111" t="s">
        <v>112</v>
      </c>
      <c r="I7" s="25" t="b">
        <v>0</v>
      </c>
      <c r="J7" s="26">
        <v>46235</v>
      </c>
      <c r="K7" s="26" t="s">
        <v>153</v>
      </c>
      <c r="L7" s="27" t="s">
        <v>146</v>
      </c>
      <c r="M7" s="27" t="s">
        <v>43</v>
      </c>
      <c r="N7" s="28" t="s">
        <v>42</v>
      </c>
      <c r="O7" s="77" t="s">
        <v>154</v>
      </c>
      <c r="P7" s="27" t="s">
        <v>155</v>
      </c>
      <c r="Q7" s="41"/>
    </row>
    <row r="8" spans="1:17" s="32" customFormat="1" ht="15">
      <c r="A8" s="22"/>
      <c r="B8" s="23"/>
      <c r="C8" s="29"/>
      <c r="D8" s="29"/>
      <c r="E8" s="24"/>
      <c r="F8" s="24"/>
      <c r="G8" s="24"/>
      <c r="H8" s="24"/>
      <c r="I8" s="25" t="b">
        <v>0</v>
      </c>
      <c r="J8" s="26"/>
      <c r="K8" s="26"/>
      <c r="L8" s="27"/>
      <c r="M8" s="27"/>
      <c r="N8" s="28" t="s">
        <v>47</v>
      </c>
      <c r="O8" s="27"/>
      <c r="P8" s="27"/>
      <c r="Q8" s="41"/>
    </row>
    <row r="9" spans="1:17" s="32" customFormat="1" ht="15">
      <c r="A9" s="22"/>
      <c r="B9" s="23"/>
      <c r="C9" s="29"/>
      <c r="D9" s="29"/>
      <c r="E9" s="24"/>
      <c r="F9" s="24"/>
      <c r="G9" s="24"/>
      <c r="H9" s="24"/>
      <c r="I9" s="25" t="b">
        <v>0</v>
      </c>
      <c r="J9" s="26"/>
      <c r="K9" s="26"/>
      <c r="L9" s="27"/>
      <c r="M9" s="27"/>
      <c r="N9" s="28"/>
      <c r="O9" s="27"/>
      <c r="P9" s="27"/>
      <c r="Q9" s="41"/>
    </row>
    <row r="10" spans="1:17" s="32" customFormat="1" ht="15">
      <c r="A10" s="22"/>
      <c r="B10" s="23"/>
      <c r="C10" s="29"/>
      <c r="D10" s="29"/>
      <c r="E10" s="24"/>
      <c r="F10" s="24"/>
      <c r="G10" s="24"/>
      <c r="H10" s="24"/>
      <c r="I10" s="25" t="b">
        <v>0</v>
      </c>
      <c r="J10" s="26"/>
      <c r="K10" s="26"/>
      <c r="L10" s="27"/>
      <c r="M10" s="27"/>
      <c r="N10" s="28"/>
      <c r="O10" s="27"/>
      <c r="P10" s="27"/>
      <c r="Q10" s="41"/>
    </row>
    <row r="11" spans="1:17" s="32" customFormat="1" ht="15">
      <c r="A11" s="22"/>
      <c r="B11" s="23"/>
      <c r="C11" s="29"/>
      <c r="D11" s="29"/>
      <c r="E11" s="24"/>
      <c r="F11" s="24"/>
      <c r="G11" s="24"/>
      <c r="H11" s="24"/>
      <c r="I11" s="25" t="b">
        <v>0</v>
      </c>
      <c r="J11" s="26"/>
      <c r="K11" s="26"/>
      <c r="L11" s="27"/>
      <c r="M11" s="27"/>
      <c r="N11" s="28"/>
      <c r="O11" s="27"/>
      <c r="P11" s="27"/>
      <c r="Q11" s="41"/>
    </row>
    <row r="12" spans="1:17" s="32" customFormat="1" ht="15">
      <c r="A12" s="22"/>
      <c r="B12" s="23"/>
      <c r="C12" s="29"/>
      <c r="D12" s="29"/>
      <c r="E12" s="24"/>
      <c r="F12" s="24"/>
      <c r="G12" s="24"/>
      <c r="H12" s="24"/>
      <c r="I12" s="25" t="b">
        <v>0</v>
      </c>
      <c r="J12" s="26"/>
      <c r="K12" s="26"/>
      <c r="L12" s="27"/>
      <c r="M12" s="27"/>
      <c r="N12" s="28"/>
      <c r="O12" s="27"/>
      <c r="P12" s="27"/>
      <c r="Q12" s="41"/>
    </row>
    <row r="13" spans="1:17" s="32" customFormat="1" ht="15">
      <c r="A13" s="22"/>
      <c r="B13" s="23"/>
      <c r="C13" s="29"/>
      <c r="D13" s="29"/>
      <c r="E13" s="24"/>
      <c r="F13" s="24"/>
      <c r="G13" s="24"/>
      <c r="H13" s="24"/>
      <c r="I13" s="25" t="b">
        <v>0</v>
      </c>
      <c r="J13" s="26"/>
      <c r="K13" s="26"/>
      <c r="L13" s="27"/>
      <c r="M13" s="27"/>
      <c r="N13" s="28"/>
      <c r="O13" s="27"/>
      <c r="P13" s="27"/>
      <c r="Q13" s="41"/>
    </row>
    <row r="14" spans="1:17" s="32" customFormat="1" ht="15">
      <c r="A14" s="22"/>
      <c r="B14" s="23"/>
      <c r="C14" s="29"/>
      <c r="D14" s="29"/>
      <c r="E14" s="24"/>
      <c r="F14" s="24"/>
      <c r="G14" s="24"/>
      <c r="H14" s="24"/>
      <c r="I14" s="25" t="b">
        <v>0</v>
      </c>
      <c r="J14" s="26"/>
      <c r="K14" s="26"/>
      <c r="L14" s="27"/>
      <c r="M14" s="27"/>
      <c r="N14" s="28"/>
      <c r="O14" s="27"/>
      <c r="P14" s="27"/>
      <c r="Q14" s="41"/>
    </row>
    <row r="15" spans="1:17" s="32" customFormat="1" ht="15">
      <c r="A15" s="22"/>
      <c r="B15" s="23"/>
      <c r="C15" s="29"/>
      <c r="D15" s="29"/>
      <c r="E15" s="24"/>
      <c r="F15" s="24"/>
      <c r="G15" s="24"/>
      <c r="H15" s="24"/>
      <c r="I15" s="25" t="b">
        <v>0</v>
      </c>
      <c r="J15" s="26"/>
      <c r="K15" s="26"/>
      <c r="L15" s="27"/>
      <c r="M15" s="27"/>
      <c r="N15" s="28"/>
      <c r="O15" s="27"/>
      <c r="P15" s="27"/>
      <c r="Q15" s="41"/>
    </row>
    <row r="16" spans="1:17" s="32" customFormat="1" ht="15">
      <c r="A16" s="22"/>
      <c r="B16" s="23"/>
      <c r="C16" s="29"/>
      <c r="D16" s="29"/>
      <c r="E16" s="24"/>
      <c r="F16" s="24"/>
      <c r="G16" s="24"/>
      <c r="H16" s="24"/>
      <c r="I16" s="25" t="b">
        <v>0</v>
      </c>
      <c r="J16" s="26"/>
      <c r="K16" s="26"/>
      <c r="L16" s="27"/>
      <c r="M16" s="27"/>
      <c r="N16" s="28"/>
      <c r="O16" s="27"/>
      <c r="P16" s="27"/>
      <c r="Q16" s="41"/>
    </row>
    <row r="17" spans="1:17" s="32" customFormat="1" ht="15">
      <c r="A17" s="22"/>
      <c r="B17" s="23"/>
      <c r="C17" s="29"/>
      <c r="D17" s="29"/>
      <c r="E17" s="24"/>
      <c r="F17" s="24"/>
      <c r="G17" s="24"/>
      <c r="H17" s="24"/>
      <c r="I17" s="25" t="b">
        <v>0</v>
      </c>
      <c r="J17" s="26"/>
      <c r="K17" s="26"/>
      <c r="L17" s="27"/>
      <c r="M17" s="27"/>
      <c r="N17" s="28"/>
      <c r="O17" s="27"/>
      <c r="P17" s="27"/>
      <c r="Q17" s="41"/>
    </row>
    <row r="18" spans="1:17" s="32" customFormat="1" ht="15">
      <c r="A18" s="22"/>
      <c r="B18" s="23"/>
      <c r="C18" s="29"/>
      <c r="D18" s="29"/>
      <c r="E18" s="22"/>
      <c r="F18" s="22"/>
      <c r="G18" s="22"/>
      <c r="H18" s="22"/>
      <c r="I18" s="30" t="b">
        <v>0</v>
      </c>
      <c r="J18" s="23"/>
      <c r="K18" s="23"/>
      <c r="L18" s="20"/>
      <c r="M18" s="22"/>
      <c r="N18" s="22"/>
      <c r="O18" s="22"/>
      <c r="P18" s="22"/>
      <c r="Q18" s="41"/>
    </row>
  </sheetData>
  <mergeCells count="2">
    <mergeCell ref="A2:B2"/>
    <mergeCell ref="A3:B3"/>
  </mergeCells>
  <conditionalFormatting sqref="J5:K18">
    <cfRule type="expression" dxfId="28" priority="9">
      <formula>$I5=TRUE</formula>
    </cfRule>
  </conditionalFormatting>
  <conditionalFormatting sqref="M5:M18">
    <cfRule type="containsText" dxfId="27" priority="10" operator="containsText" text="Simultânea">
      <formula>NOT(ISERROR(SEARCH("Simultânea",M5)))</formula>
    </cfRule>
    <cfRule type="containsText" dxfId="26" priority="11" operator="containsText" text="Sucede">
      <formula>NOT(ISERROR(SEARCH("Sucede",M5)))</formula>
    </cfRule>
    <cfRule type="containsText" dxfId="25" priority="12" operator="containsText" text="Antecede">
      <formula>NOT(ISERROR(SEARCH("Antecede",M5)))</formula>
    </cfRule>
  </conditionalFormatting>
  <conditionalFormatting sqref="N5:N17">
    <cfRule type="containsText" dxfId="24" priority="1" operator="containsText" text="Concluída">
      <formula>NOT(ISERROR(SEARCH("Concluída",N5)))</formula>
    </cfRule>
    <cfRule type="containsText" dxfId="23" priority="2" operator="containsText" text="Paralisada">
      <formula>NOT(ISERROR(SEARCH("Paralisada",N5)))</formula>
    </cfRule>
    <cfRule type="containsText" dxfId="22" priority="3" operator="containsText" text="Em execução">
      <formula>NOT(ISERROR(SEARCH("Em execução",N5)))</formula>
    </cfRule>
    <cfRule type="containsText" dxfId="21" priority="4" operator="containsText" text="Não iniciada">
      <formula>NOT(ISERROR(SEARCH("Não iniciada",N5)))</formula>
    </cfRule>
  </conditionalFormatting>
  <dataValidations count="4">
    <dataValidation type="list" allowBlank="1" showInputMessage="1" showErrorMessage="1" sqref="M5:M18">
      <formula1>"Antecede,Sucede,Simultânea"</formula1>
    </dataValidation>
    <dataValidation allowBlank="1" showDropDown="1" sqref="Q5:Q17"/>
    <dataValidation type="custom" allowBlank="1" showDropDown="1" sqref="B5:B18">
      <formula1>OR(NOT(ISERROR(DATEVALUE(B5))), AND(ISNUMBER(B5), LEFT(CELL("format", B5))="D"))</formula1>
    </dataValidation>
    <dataValidation type="list" allowBlank="1" sqref="N5:N18">
      <formula1>"Não iniciada,Em execução,Paralisada,Concluída"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L5:L18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6"/>
  <sheetViews>
    <sheetView topLeftCell="A1458" workbookViewId="0">
      <selection activeCell="K15" sqref="K15"/>
    </sheetView>
  </sheetViews>
  <sheetFormatPr defaultRowHeight="14.25"/>
  <sheetData>
    <row r="1" spans="1:7">
      <c r="A1" s="126" t="s">
        <v>52</v>
      </c>
      <c r="B1" s="126"/>
      <c r="C1" s="126"/>
      <c r="D1" s="126"/>
      <c r="E1" s="126"/>
      <c r="F1" s="42" t="s">
        <v>53</v>
      </c>
    </row>
    <row r="2" spans="1:7">
      <c r="A2" t="str" cm="1">
        <f t="array" ref="A2:A15">Inst_1_1[Atividade]</f>
        <v>Criação do GT</v>
      </c>
      <c r="B2" t="str" cm="1">
        <f t="array" ref="B2:B15">Inst_1_2[Atividade]</f>
        <v>Inventario de Politicas</v>
      </c>
      <c r="C2" t="str" cm="1">
        <f t="array" ref="C2:C15">Inst_1_3[Atividade]</f>
        <v>Levantar custos</v>
      </c>
      <c r="D2" t="str" cm="1">
        <f t="array" ref="D2:D15">Inst_1_4[Atividade]</f>
        <v>Identificação de Parceiros</v>
      </c>
      <c r="E2" t="str" cm="1">
        <f t="array" ref="E2:E15">Inst_1_5[Atividade]</f>
        <v xml:space="preserve">Levantamento </v>
      </c>
      <c r="F2" t="str" cm="1">
        <f t="array" ref="F2:F300">A2:A300</f>
        <v>Criação do GT</v>
      </c>
      <c r="G2" s="43" t="s">
        <v>54</v>
      </c>
    </row>
    <row r="3" spans="1:7">
      <c r="A3" t="str">
        <v>Discussão da Elaboração da minuta do instituição do comite</v>
      </c>
      <c r="B3" t="str">
        <v>Elaborar e /ou revisar politicas</v>
      </c>
      <c r="C3" t="str">
        <v>Inclusão no orçamento</v>
      </c>
      <c r="D3" t="str">
        <v>Apresentação da politicas aos parceiros</v>
      </c>
      <c r="E3" t="str">
        <v>Elaborar Plano de Formação</v>
      </c>
      <c r="F3" t="str">
        <v>Discussão da Elaboração da minuta do instituição do comite</v>
      </c>
    </row>
    <row r="4" spans="1:7">
      <c r="A4" t="str">
        <v>Formalização do GT</v>
      </c>
      <c r="B4" t="str">
        <v>Publicação de Politicas</v>
      </c>
      <c r="C4">
        <v>0</v>
      </c>
      <c r="D4">
        <v>0</v>
      </c>
      <c r="E4" t="str">
        <v>Execução PA</v>
      </c>
      <c r="F4" t="str">
        <v>Formalização do GT</v>
      </c>
    </row>
    <row r="5" spans="1:7">
      <c r="A5" t="str">
        <v>Discussão do preenchimento do documento</v>
      </c>
      <c r="B5" t="str">
        <v>Elaborar guia de boas praticas</v>
      </c>
      <c r="C5">
        <v>0</v>
      </c>
      <c r="D5">
        <v>0</v>
      </c>
      <c r="E5">
        <v>0</v>
      </c>
      <c r="F5" t="str">
        <v>Discussão do preenchimento do documento</v>
      </c>
    </row>
    <row r="6" spans="1:7">
      <c r="A6" t="str">
        <v>Publicar</v>
      </c>
      <c r="B6">
        <v>0</v>
      </c>
      <c r="C6">
        <v>0</v>
      </c>
      <c r="D6">
        <v>0</v>
      </c>
      <c r="E6">
        <v>0</v>
      </c>
      <c r="F6" t="str">
        <v>Publicar</v>
      </c>
    </row>
    <row r="7" spans="1:7">
      <c r="A7" t="str">
        <v>Apresentação do pós reunião da oficina do RNDS ao Gabinete</v>
      </c>
      <c r="B7">
        <v>0</v>
      </c>
      <c r="C7">
        <v>0</v>
      </c>
      <c r="D7">
        <v>0</v>
      </c>
      <c r="E7">
        <v>0</v>
      </c>
      <c r="F7" t="str">
        <v>Apresentação do pós reunião da oficina do RNDS ao Gabinete</v>
      </c>
    </row>
    <row r="8" spans="1:7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7">
      <c r="A9"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7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7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7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7">
      <c r="F16">
        <v>0</v>
      </c>
    </row>
    <row r="17" spans="6:6">
      <c r="F17">
        <v>0</v>
      </c>
    </row>
    <row r="18" spans="6:6">
      <c r="F18">
        <v>0</v>
      </c>
    </row>
    <row r="19" spans="6:6">
      <c r="F19">
        <v>0</v>
      </c>
    </row>
    <row r="20" spans="6:6">
      <c r="F20">
        <v>0</v>
      </c>
    </row>
    <row r="21" spans="6:6">
      <c r="F21">
        <v>0</v>
      </c>
    </row>
    <row r="22" spans="6:6">
      <c r="F22">
        <v>0</v>
      </c>
    </row>
    <row r="23" spans="6:6">
      <c r="F23">
        <v>0</v>
      </c>
    </row>
    <row r="24" spans="6:6">
      <c r="F24">
        <v>0</v>
      </c>
    </row>
    <row r="25" spans="6:6">
      <c r="F25">
        <v>0</v>
      </c>
    </row>
    <row r="26" spans="6:6">
      <c r="F26">
        <v>0</v>
      </c>
    </row>
    <row r="27" spans="6:6">
      <c r="F27">
        <v>0</v>
      </c>
    </row>
    <row r="28" spans="6:6">
      <c r="F28">
        <v>0</v>
      </c>
    </row>
    <row r="29" spans="6:6">
      <c r="F29">
        <v>0</v>
      </c>
    </row>
    <row r="30" spans="6:6">
      <c r="F30">
        <v>0</v>
      </c>
    </row>
    <row r="31" spans="6:6">
      <c r="F31">
        <v>0</v>
      </c>
    </row>
    <row r="32" spans="6:6">
      <c r="F32">
        <v>0</v>
      </c>
    </row>
    <row r="33" spans="6:6">
      <c r="F33">
        <v>0</v>
      </c>
    </row>
    <row r="34" spans="6:6">
      <c r="F34">
        <v>0</v>
      </c>
    </row>
    <row r="35" spans="6:6">
      <c r="F35">
        <v>0</v>
      </c>
    </row>
    <row r="36" spans="6:6">
      <c r="F36">
        <v>0</v>
      </c>
    </row>
    <row r="37" spans="6:6">
      <c r="F37">
        <v>0</v>
      </c>
    </row>
    <row r="38" spans="6:6">
      <c r="F38">
        <v>0</v>
      </c>
    </row>
    <row r="39" spans="6:6">
      <c r="F39">
        <v>0</v>
      </c>
    </row>
    <row r="40" spans="6:6">
      <c r="F40">
        <v>0</v>
      </c>
    </row>
    <row r="41" spans="6:6">
      <c r="F41">
        <v>0</v>
      </c>
    </row>
    <row r="42" spans="6:6">
      <c r="F42">
        <v>0</v>
      </c>
    </row>
    <row r="43" spans="6:6">
      <c r="F43">
        <v>0</v>
      </c>
    </row>
    <row r="44" spans="6:6">
      <c r="F44">
        <v>0</v>
      </c>
    </row>
    <row r="45" spans="6:6">
      <c r="F45">
        <v>0</v>
      </c>
    </row>
    <row r="46" spans="6:6">
      <c r="F46">
        <v>0</v>
      </c>
    </row>
    <row r="47" spans="6:6">
      <c r="F47">
        <v>0</v>
      </c>
    </row>
    <row r="48" spans="6:6">
      <c r="F48">
        <v>0</v>
      </c>
    </row>
    <row r="49" spans="6:6">
      <c r="F49">
        <v>0</v>
      </c>
    </row>
    <row r="50" spans="6:6">
      <c r="F50">
        <v>0</v>
      </c>
    </row>
    <row r="51" spans="6:6">
      <c r="F51">
        <v>0</v>
      </c>
    </row>
    <row r="52" spans="6:6">
      <c r="F52">
        <v>0</v>
      </c>
    </row>
    <row r="53" spans="6:6">
      <c r="F53">
        <v>0</v>
      </c>
    </row>
    <row r="54" spans="6:6">
      <c r="F54">
        <v>0</v>
      </c>
    </row>
    <row r="55" spans="6:6">
      <c r="F55">
        <v>0</v>
      </c>
    </row>
    <row r="56" spans="6:6">
      <c r="F56">
        <v>0</v>
      </c>
    </row>
    <row r="57" spans="6:6">
      <c r="F57">
        <v>0</v>
      </c>
    </row>
    <row r="58" spans="6:6">
      <c r="F58">
        <v>0</v>
      </c>
    </row>
    <row r="59" spans="6:6">
      <c r="F59">
        <v>0</v>
      </c>
    </row>
    <row r="60" spans="6:6">
      <c r="F60">
        <v>0</v>
      </c>
    </row>
    <row r="61" spans="6:6">
      <c r="F61">
        <v>0</v>
      </c>
    </row>
    <row r="62" spans="6:6">
      <c r="F62">
        <v>0</v>
      </c>
    </row>
    <row r="63" spans="6:6">
      <c r="F63">
        <v>0</v>
      </c>
    </row>
    <row r="64" spans="6:6">
      <c r="F64">
        <v>0</v>
      </c>
    </row>
    <row r="65" spans="6:6">
      <c r="F65">
        <v>0</v>
      </c>
    </row>
    <row r="66" spans="6:6">
      <c r="F66">
        <v>0</v>
      </c>
    </row>
    <row r="67" spans="6:6">
      <c r="F67">
        <v>0</v>
      </c>
    </row>
    <row r="68" spans="6:6">
      <c r="F68">
        <v>0</v>
      </c>
    </row>
    <row r="69" spans="6:6">
      <c r="F69">
        <v>0</v>
      </c>
    </row>
    <row r="70" spans="6:6">
      <c r="F70">
        <v>0</v>
      </c>
    </row>
    <row r="71" spans="6:6">
      <c r="F71">
        <v>0</v>
      </c>
    </row>
    <row r="72" spans="6:6">
      <c r="F72">
        <v>0</v>
      </c>
    </row>
    <row r="73" spans="6:6">
      <c r="F73">
        <v>0</v>
      </c>
    </row>
    <row r="74" spans="6:6">
      <c r="F74">
        <v>0</v>
      </c>
    </row>
    <row r="75" spans="6:6">
      <c r="F75">
        <v>0</v>
      </c>
    </row>
    <row r="76" spans="6:6">
      <c r="F76">
        <v>0</v>
      </c>
    </row>
    <row r="77" spans="6:6">
      <c r="F77">
        <v>0</v>
      </c>
    </row>
    <row r="78" spans="6:6">
      <c r="F78">
        <v>0</v>
      </c>
    </row>
    <row r="79" spans="6:6">
      <c r="F79">
        <v>0</v>
      </c>
    </row>
    <row r="80" spans="6:6">
      <c r="F80">
        <v>0</v>
      </c>
    </row>
    <row r="81" spans="6:6">
      <c r="F81">
        <v>0</v>
      </c>
    </row>
    <row r="82" spans="6:6">
      <c r="F82">
        <v>0</v>
      </c>
    </row>
    <row r="83" spans="6:6">
      <c r="F83">
        <v>0</v>
      </c>
    </row>
    <row r="84" spans="6:6">
      <c r="F84">
        <v>0</v>
      </c>
    </row>
    <row r="85" spans="6:6">
      <c r="F85">
        <v>0</v>
      </c>
    </row>
    <row r="86" spans="6:6">
      <c r="F86">
        <v>0</v>
      </c>
    </row>
    <row r="87" spans="6:6">
      <c r="F87">
        <v>0</v>
      </c>
    </row>
    <row r="88" spans="6:6">
      <c r="F88">
        <v>0</v>
      </c>
    </row>
    <row r="89" spans="6:6">
      <c r="F89">
        <v>0</v>
      </c>
    </row>
    <row r="90" spans="6:6">
      <c r="F90">
        <v>0</v>
      </c>
    </row>
    <row r="91" spans="6:6">
      <c r="F91">
        <v>0</v>
      </c>
    </row>
    <row r="92" spans="6:6">
      <c r="F92">
        <v>0</v>
      </c>
    </row>
    <row r="93" spans="6:6">
      <c r="F93">
        <v>0</v>
      </c>
    </row>
    <row r="94" spans="6:6">
      <c r="F94">
        <v>0</v>
      </c>
    </row>
    <row r="95" spans="6:6">
      <c r="F95">
        <v>0</v>
      </c>
    </row>
    <row r="96" spans="6:6">
      <c r="F96">
        <v>0</v>
      </c>
    </row>
    <row r="97" spans="6:6">
      <c r="F97">
        <v>0</v>
      </c>
    </row>
    <row r="98" spans="6:6">
      <c r="F98">
        <v>0</v>
      </c>
    </row>
    <row r="99" spans="6:6">
      <c r="F99">
        <v>0</v>
      </c>
    </row>
    <row r="100" spans="6:6">
      <c r="F100">
        <v>0</v>
      </c>
    </row>
    <row r="101" spans="6:6">
      <c r="F101">
        <v>0</v>
      </c>
    </row>
    <row r="102" spans="6:6">
      <c r="F102">
        <v>0</v>
      </c>
    </row>
    <row r="103" spans="6:6">
      <c r="F103">
        <v>0</v>
      </c>
    </row>
    <row r="104" spans="6:6">
      <c r="F104">
        <v>0</v>
      </c>
    </row>
    <row r="105" spans="6:6">
      <c r="F105">
        <v>0</v>
      </c>
    </row>
    <row r="106" spans="6:6">
      <c r="F106">
        <v>0</v>
      </c>
    </row>
    <row r="107" spans="6:6">
      <c r="F107">
        <v>0</v>
      </c>
    </row>
    <row r="108" spans="6:6">
      <c r="F108">
        <v>0</v>
      </c>
    </row>
    <row r="109" spans="6:6">
      <c r="F109">
        <v>0</v>
      </c>
    </row>
    <row r="110" spans="6:6">
      <c r="F110">
        <v>0</v>
      </c>
    </row>
    <row r="111" spans="6:6">
      <c r="F111">
        <v>0</v>
      </c>
    </row>
    <row r="112" spans="6:6">
      <c r="F112">
        <v>0</v>
      </c>
    </row>
    <row r="113" spans="6:6">
      <c r="F113">
        <v>0</v>
      </c>
    </row>
    <row r="114" spans="6:6">
      <c r="F114">
        <v>0</v>
      </c>
    </row>
    <row r="115" spans="6:6">
      <c r="F115">
        <v>0</v>
      </c>
    </row>
    <row r="116" spans="6:6">
      <c r="F116">
        <v>0</v>
      </c>
    </row>
    <row r="117" spans="6:6">
      <c r="F117">
        <v>0</v>
      </c>
    </row>
    <row r="118" spans="6:6">
      <c r="F118">
        <v>0</v>
      </c>
    </row>
    <row r="119" spans="6:6">
      <c r="F119">
        <v>0</v>
      </c>
    </row>
    <row r="120" spans="6:6">
      <c r="F120">
        <v>0</v>
      </c>
    </row>
    <row r="121" spans="6:6">
      <c r="F121">
        <v>0</v>
      </c>
    </row>
    <row r="122" spans="6:6">
      <c r="F122">
        <v>0</v>
      </c>
    </row>
    <row r="123" spans="6:6">
      <c r="F123">
        <v>0</v>
      </c>
    </row>
    <row r="124" spans="6:6">
      <c r="F124">
        <v>0</v>
      </c>
    </row>
    <row r="125" spans="6:6">
      <c r="F125">
        <v>0</v>
      </c>
    </row>
    <row r="126" spans="6:6">
      <c r="F126">
        <v>0</v>
      </c>
    </row>
    <row r="127" spans="6:6">
      <c r="F127">
        <v>0</v>
      </c>
    </row>
    <row r="128" spans="6:6">
      <c r="F128">
        <v>0</v>
      </c>
    </row>
    <row r="129" spans="6:6">
      <c r="F129">
        <v>0</v>
      </c>
    </row>
    <row r="130" spans="6:6">
      <c r="F130">
        <v>0</v>
      </c>
    </row>
    <row r="131" spans="6:6">
      <c r="F131">
        <v>0</v>
      </c>
    </row>
    <row r="132" spans="6:6">
      <c r="F132">
        <v>0</v>
      </c>
    </row>
    <row r="133" spans="6:6">
      <c r="F133">
        <v>0</v>
      </c>
    </row>
    <row r="134" spans="6:6">
      <c r="F134">
        <v>0</v>
      </c>
    </row>
    <row r="135" spans="6:6">
      <c r="F135">
        <v>0</v>
      </c>
    </row>
    <row r="136" spans="6:6">
      <c r="F136">
        <v>0</v>
      </c>
    </row>
    <row r="137" spans="6:6">
      <c r="F137">
        <v>0</v>
      </c>
    </row>
    <row r="138" spans="6:6">
      <c r="F138">
        <v>0</v>
      </c>
    </row>
    <row r="139" spans="6:6">
      <c r="F139">
        <v>0</v>
      </c>
    </row>
    <row r="140" spans="6:6">
      <c r="F140">
        <v>0</v>
      </c>
    </row>
    <row r="141" spans="6:6">
      <c r="F141">
        <v>0</v>
      </c>
    </row>
    <row r="142" spans="6:6">
      <c r="F142">
        <v>0</v>
      </c>
    </row>
    <row r="143" spans="6:6">
      <c r="F143">
        <v>0</v>
      </c>
    </row>
    <row r="144" spans="6:6">
      <c r="F144">
        <v>0</v>
      </c>
    </row>
    <row r="145" spans="6:6">
      <c r="F145">
        <v>0</v>
      </c>
    </row>
    <row r="146" spans="6:6">
      <c r="F146">
        <v>0</v>
      </c>
    </row>
    <row r="147" spans="6:6">
      <c r="F147">
        <v>0</v>
      </c>
    </row>
    <row r="148" spans="6:6">
      <c r="F148">
        <v>0</v>
      </c>
    </row>
    <row r="149" spans="6:6">
      <c r="F149">
        <v>0</v>
      </c>
    </row>
    <row r="150" spans="6:6">
      <c r="F150">
        <v>0</v>
      </c>
    </row>
    <row r="151" spans="6:6">
      <c r="F151">
        <v>0</v>
      </c>
    </row>
    <row r="152" spans="6:6">
      <c r="F152">
        <v>0</v>
      </c>
    </row>
    <row r="153" spans="6:6">
      <c r="F153">
        <v>0</v>
      </c>
    </row>
    <row r="154" spans="6:6">
      <c r="F154">
        <v>0</v>
      </c>
    </row>
    <row r="155" spans="6:6">
      <c r="F155">
        <v>0</v>
      </c>
    </row>
    <row r="156" spans="6:6">
      <c r="F156">
        <v>0</v>
      </c>
    </row>
    <row r="157" spans="6:6">
      <c r="F157">
        <v>0</v>
      </c>
    </row>
    <row r="158" spans="6:6">
      <c r="F158">
        <v>0</v>
      </c>
    </row>
    <row r="159" spans="6:6">
      <c r="F159">
        <v>0</v>
      </c>
    </row>
    <row r="160" spans="6:6">
      <c r="F160">
        <v>0</v>
      </c>
    </row>
    <row r="161" spans="6:6">
      <c r="F161">
        <v>0</v>
      </c>
    </row>
    <row r="162" spans="6:6">
      <c r="F162">
        <v>0</v>
      </c>
    </row>
    <row r="163" spans="6:6">
      <c r="F163">
        <v>0</v>
      </c>
    </row>
    <row r="164" spans="6:6">
      <c r="F164">
        <v>0</v>
      </c>
    </row>
    <row r="165" spans="6:6">
      <c r="F165">
        <v>0</v>
      </c>
    </row>
    <row r="166" spans="6:6">
      <c r="F166">
        <v>0</v>
      </c>
    </row>
    <row r="167" spans="6:6">
      <c r="F167">
        <v>0</v>
      </c>
    </row>
    <row r="168" spans="6:6">
      <c r="F168">
        <v>0</v>
      </c>
    </row>
    <row r="169" spans="6:6">
      <c r="F169">
        <v>0</v>
      </c>
    </row>
    <row r="170" spans="6:6">
      <c r="F170">
        <v>0</v>
      </c>
    </row>
    <row r="171" spans="6:6">
      <c r="F171">
        <v>0</v>
      </c>
    </row>
    <row r="172" spans="6:6">
      <c r="F172">
        <v>0</v>
      </c>
    </row>
    <row r="173" spans="6:6">
      <c r="F173">
        <v>0</v>
      </c>
    </row>
    <row r="174" spans="6:6">
      <c r="F174">
        <v>0</v>
      </c>
    </row>
    <row r="175" spans="6:6">
      <c r="F175">
        <v>0</v>
      </c>
    </row>
    <row r="176" spans="6:6">
      <c r="F176">
        <v>0</v>
      </c>
    </row>
    <row r="177" spans="6:6">
      <c r="F177">
        <v>0</v>
      </c>
    </row>
    <row r="178" spans="6:6">
      <c r="F178">
        <v>0</v>
      </c>
    </row>
    <row r="179" spans="6:6">
      <c r="F179">
        <v>0</v>
      </c>
    </row>
    <row r="180" spans="6:6">
      <c r="F180">
        <v>0</v>
      </c>
    </row>
    <row r="181" spans="6:6">
      <c r="F181">
        <v>0</v>
      </c>
    </row>
    <row r="182" spans="6:6">
      <c r="F182">
        <v>0</v>
      </c>
    </row>
    <row r="183" spans="6:6">
      <c r="F183">
        <v>0</v>
      </c>
    </row>
    <row r="184" spans="6:6">
      <c r="F184">
        <v>0</v>
      </c>
    </row>
    <row r="185" spans="6:6">
      <c r="F185">
        <v>0</v>
      </c>
    </row>
    <row r="186" spans="6:6">
      <c r="F186">
        <v>0</v>
      </c>
    </row>
    <row r="187" spans="6:6">
      <c r="F187">
        <v>0</v>
      </c>
    </row>
    <row r="188" spans="6:6">
      <c r="F188">
        <v>0</v>
      </c>
    </row>
    <row r="189" spans="6:6">
      <c r="F189">
        <v>0</v>
      </c>
    </row>
    <row r="190" spans="6:6">
      <c r="F190">
        <v>0</v>
      </c>
    </row>
    <row r="191" spans="6:6">
      <c r="F191">
        <v>0</v>
      </c>
    </row>
    <row r="192" spans="6:6">
      <c r="F192">
        <v>0</v>
      </c>
    </row>
    <row r="193" spans="6:6">
      <c r="F193">
        <v>0</v>
      </c>
    </row>
    <row r="194" spans="6:6">
      <c r="F194">
        <v>0</v>
      </c>
    </row>
    <row r="195" spans="6:6">
      <c r="F195">
        <v>0</v>
      </c>
    </row>
    <row r="196" spans="6:6">
      <c r="F196">
        <v>0</v>
      </c>
    </row>
    <row r="197" spans="6:6">
      <c r="F197">
        <v>0</v>
      </c>
    </row>
    <row r="198" spans="6:6">
      <c r="F198">
        <v>0</v>
      </c>
    </row>
    <row r="199" spans="6:6">
      <c r="F199">
        <v>0</v>
      </c>
    </row>
    <row r="200" spans="6:6">
      <c r="F200">
        <v>0</v>
      </c>
    </row>
    <row r="201" spans="6:6">
      <c r="F201">
        <v>0</v>
      </c>
    </row>
    <row r="202" spans="6:6">
      <c r="F202">
        <v>0</v>
      </c>
    </row>
    <row r="203" spans="6:6">
      <c r="F203">
        <v>0</v>
      </c>
    </row>
    <row r="204" spans="6:6">
      <c r="F204">
        <v>0</v>
      </c>
    </row>
    <row r="205" spans="6:6">
      <c r="F205">
        <v>0</v>
      </c>
    </row>
    <row r="206" spans="6:6">
      <c r="F206">
        <v>0</v>
      </c>
    </row>
    <row r="207" spans="6:6">
      <c r="F207">
        <v>0</v>
      </c>
    </row>
    <row r="208" spans="6:6">
      <c r="F208">
        <v>0</v>
      </c>
    </row>
    <row r="209" spans="6:6">
      <c r="F209">
        <v>0</v>
      </c>
    </row>
    <row r="210" spans="6:6">
      <c r="F210">
        <v>0</v>
      </c>
    </row>
    <row r="211" spans="6:6">
      <c r="F211">
        <v>0</v>
      </c>
    </row>
    <row r="212" spans="6:6">
      <c r="F212">
        <v>0</v>
      </c>
    </row>
    <row r="213" spans="6:6">
      <c r="F213">
        <v>0</v>
      </c>
    </row>
    <row r="214" spans="6:6">
      <c r="F214">
        <v>0</v>
      </c>
    </row>
    <row r="215" spans="6:6">
      <c r="F215">
        <v>0</v>
      </c>
    </row>
    <row r="216" spans="6:6">
      <c r="F216">
        <v>0</v>
      </c>
    </row>
    <row r="217" spans="6:6">
      <c r="F217">
        <v>0</v>
      </c>
    </row>
    <row r="218" spans="6:6">
      <c r="F218">
        <v>0</v>
      </c>
    </row>
    <row r="219" spans="6:6">
      <c r="F219">
        <v>0</v>
      </c>
    </row>
    <row r="220" spans="6:6">
      <c r="F220">
        <v>0</v>
      </c>
    </row>
    <row r="221" spans="6:6">
      <c r="F221">
        <v>0</v>
      </c>
    </row>
    <row r="222" spans="6:6">
      <c r="F222">
        <v>0</v>
      </c>
    </row>
    <row r="223" spans="6:6">
      <c r="F223">
        <v>0</v>
      </c>
    </row>
    <row r="224" spans="6:6">
      <c r="F224">
        <v>0</v>
      </c>
    </row>
    <row r="225" spans="6:6">
      <c r="F225">
        <v>0</v>
      </c>
    </row>
    <row r="226" spans="6:6">
      <c r="F226">
        <v>0</v>
      </c>
    </row>
    <row r="227" spans="6:6">
      <c r="F227">
        <v>0</v>
      </c>
    </row>
    <row r="228" spans="6:6">
      <c r="F228">
        <v>0</v>
      </c>
    </row>
    <row r="229" spans="6:6">
      <c r="F229">
        <v>0</v>
      </c>
    </row>
    <row r="230" spans="6:6">
      <c r="F230">
        <v>0</v>
      </c>
    </row>
    <row r="231" spans="6:6">
      <c r="F231">
        <v>0</v>
      </c>
    </row>
    <row r="232" spans="6:6">
      <c r="F232">
        <v>0</v>
      </c>
    </row>
    <row r="233" spans="6:6">
      <c r="F233">
        <v>0</v>
      </c>
    </row>
    <row r="234" spans="6:6">
      <c r="F234">
        <v>0</v>
      </c>
    </row>
    <row r="235" spans="6:6">
      <c r="F235">
        <v>0</v>
      </c>
    </row>
    <row r="236" spans="6:6">
      <c r="F236">
        <v>0</v>
      </c>
    </row>
    <row r="237" spans="6:6">
      <c r="F237">
        <v>0</v>
      </c>
    </row>
    <row r="238" spans="6:6">
      <c r="F238">
        <v>0</v>
      </c>
    </row>
    <row r="239" spans="6:6">
      <c r="F239">
        <v>0</v>
      </c>
    </row>
    <row r="240" spans="6:6">
      <c r="F240">
        <v>0</v>
      </c>
    </row>
    <row r="241" spans="6:6">
      <c r="F241">
        <v>0</v>
      </c>
    </row>
    <row r="242" spans="6:6">
      <c r="F242">
        <v>0</v>
      </c>
    </row>
    <row r="243" spans="6:6">
      <c r="F243">
        <v>0</v>
      </c>
    </row>
    <row r="244" spans="6:6">
      <c r="F244">
        <v>0</v>
      </c>
    </row>
    <row r="245" spans="6:6">
      <c r="F245">
        <v>0</v>
      </c>
    </row>
    <row r="246" spans="6:6">
      <c r="F246">
        <v>0</v>
      </c>
    </row>
    <row r="247" spans="6:6">
      <c r="F247">
        <v>0</v>
      </c>
    </row>
    <row r="248" spans="6:6">
      <c r="F248">
        <v>0</v>
      </c>
    </row>
    <row r="249" spans="6:6">
      <c r="F249">
        <v>0</v>
      </c>
    </row>
    <row r="250" spans="6:6">
      <c r="F250">
        <v>0</v>
      </c>
    </row>
    <row r="251" spans="6:6">
      <c r="F251">
        <v>0</v>
      </c>
    </row>
    <row r="252" spans="6:6">
      <c r="F252">
        <v>0</v>
      </c>
    </row>
    <row r="253" spans="6:6">
      <c r="F253">
        <v>0</v>
      </c>
    </row>
    <row r="254" spans="6:6">
      <c r="F254">
        <v>0</v>
      </c>
    </row>
    <row r="255" spans="6:6">
      <c r="F255">
        <v>0</v>
      </c>
    </row>
    <row r="256" spans="6:6">
      <c r="F256">
        <v>0</v>
      </c>
    </row>
    <row r="257" spans="6:6">
      <c r="F257">
        <v>0</v>
      </c>
    </row>
    <row r="258" spans="6:6">
      <c r="F258">
        <v>0</v>
      </c>
    </row>
    <row r="259" spans="6:6">
      <c r="F259">
        <v>0</v>
      </c>
    </row>
    <row r="260" spans="6:6">
      <c r="F260">
        <v>0</v>
      </c>
    </row>
    <row r="261" spans="6:6">
      <c r="F261">
        <v>0</v>
      </c>
    </row>
    <row r="262" spans="6:6">
      <c r="F262">
        <v>0</v>
      </c>
    </row>
    <row r="263" spans="6:6">
      <c r="F263">
        <v>0</v>
      </c>
    </row>
    <row r="264" spans="6:6">
      <c r="F264">
        <v>0</v>
      </c>
    </row>
    <row r="265" spans="6:6">
      <c r="F265">
        <v>0</v>
      </c>
    </row>
    <row r="266" spans="6:6">
      <c r="F266">
        <v>0</v>
      </c>
    </row>
    <row r="267" spans="6:6">
      <c r="F267">
        <v>0</v>
      </c>
    </row>
    <row r="268" spans="6:6">
      <c r="F268">
        <v>0</v>
      </c>
    </row>
    <row r="269" spans="6:6">
      <c r="F269">
        <v>0</v>
      </c>
    </row>
    <row r="270" spans="6:6">
      <c r="F270">
        <v>0</v>
      </c>
    </row>
    <row r="271" spans="6:6">
      <c r="F271">
        <v>0</v>
      </c>
    </row>
    <row r="272" spans="6:6">
      <c r="F272">
        <v>0</v>
      </c>
    </row>
    <row r="273" spans="6:6">
      <c r="F273">
        <v>0</v>
      </c>
    </row>
    <row r="274" spans="6:6">
      <c r="F274">
        <v>0</v>
      </c>
    </row>
    <row r="275" spans="6:6">
      <c r="F275">
        <v>0</v>
      </c>
    </row>
    <row r="276" spans="6:6">
      <c r="F276">
        <v>0</v>
      </c>
    </row>
    <row r="277" spans="6:6">
      <c r="F277">
        <v>0</v>
      </c>
    </row>
    <row r="278" spans="6:6">
      <c r="F278">
        <v>0</v>
      </c>
    </row>
    <row r="279" spans="6:6">
      <c r="F279">
        <v>0</v>
      </c>
    </row>
    <row r="280" spans="6:6">
      <c r="F280">
        <v>0</v>
      </c>
    </row>
    <row r="281" spans="6:6">
      <c r="F281">
        <v>0</v>
      </c>
    </row>
    <row r="282" spans="6:6">
      <c r="F282">
        <v>0</v>
      </c>
    </row>
    <row r="283" spans="6:6">
      <c r="F283">
        <v>0</v>
      </c>
    </row>
    <row r="284" spans="6:6">
      <c r="F284">
        <v>0</v>
      </c>
    </row>
    <row r="285" spans="6:6">
      <c r="F285">
        <v>0</v>
      </c>
    </row>
    <row r="286" spans="6:6">
      <c r="F286">
        <v>0</v>
      </c>
    </row>
    <row r="287" spans="6:6">
      <c r="F287">
        <v>0</v>
      </c>
    </row>
    <row r="288" spans="6:6">
      <c r="F288">
        <v>0</v>
      </c>
    </row>
    <row r="289" spans="6:7">
      <c r="F289">
        <v>0</v>
      </c>
    </row>
    <row r="290" spans="6:7">
      <c r="F290">
        <v>0</v>
      </c>
    </row>
    <row r="291" spans="6:7">
      <c r="F291">
        <v>0</v>
      </c>
    </row>
    <row r="292" spans="6:7">
      <c r="F292">
        <v>0</v>
      </c>
    </row>
    <row r="293" spans="6:7">
      <c r="F293">
        <v>0</v>
      </c>
    </row>
    <row r="294" spans="6:7">
      <c r="F294">
        <v>0</v>
      </c>
    </row>
    <row r="295" spans="6:7">
      <c r="F295">
        <v>0</v>
      </c>
    </row>
    <row r="296" spans="6:7">
      <c r="F296">
        <v>0</v>
      </c>
    </row>
    <row r="297" spans="6:7">
      <c r="F297">
        <v>0</v>
      </c>
    </row>
    <row r="298" spans="6:7">
      <c r="F298">
        <v>0</v>
      </c>
    </row>
    <row r="299" spans="6:7">
      <c r="F299">
        <v>0</v>
      </c>
    </row>
    <row r="300" spans="6:7">
      <c r="F300">
        <v>0</v>
      </c>
    </row>
    <row r="301" spans="6:7">
      <c r="F301" t="str" cm="1">
        <f t="array" ref="F301:F599">B2:B300</f>
        <v>Inventario de Politicas</v>
      </c>
      <c r="G301" s="43" t="s">
        <v>55</v>
      </c>
    </row>
    <row r="302" spans="6:7">
      <c r="F302" t="str">
        <v>Elaborar e /ou revisar politicas</v>
      </c>
    </row>
    <row r="303" spans="6:7">
      <c r="F303" t="str">
        <v>Publicação de Politicas</v>
      </c>
    </row>
    <row r="304" spans="6:7">
      <c r="F304" t="str">
        <v>Elaborar guia de boas praticas</v>
      </c>
    </row>
    <row r="305" spans="6:6">
      <c r="F305">
        <v>0</v>
      </c>
    </row>
    <row r="306" spans="6:6">
      <c r="F306">
        <v>0</v>
      </c>
    </row>
    <row r="307" spans="6:6">
      <c r="F307">
        <v>0</v>
      </c>
    </row>
    <row r="308" spans="6:6">
      <c r="F308">
        <v>0</v>
      </c>
    </row>
    <row r="309" spans="6:6">
      <c r="F309">
        <v>0</v>
      </c>
    </row>
    <row r="310" spans="6:6">
      <c r="F310">
        <v>0</v>
      </c>
    </row>
    <row r="311" spans="6:6">
      <c r="F311">
        <v>0</v>
      </c>
    </row>
    <row r="312" spans="6:6">
      <c r="F312">
        <v>0</v>
      </c>
    </row>
    <row r="313" spans="6:6">
      <c r="F313">
        <v>0</v>
      </c>
    </row>
    <row r="314" spans="6:6">
      <c r="F314">
        <v>0</v>
      </c>
    </row>
    <row r="315" spans="6:6">
      <c r="F315">
        <v>0</v>
      </c>
    </row>
    <row r="316" spans="6:6">
      <c r="F316">
        <v>0</v>
      </c>
    </row>
    <row r="317" spans="6:6">
      <c r="F317">
        <v>0</v>
      </c>
    </row>
    <row r="318" spans="6:6">
      <c r="F318">
        <v>0</v>
      </c>
    </row>
    <row r="319" spans="6:6">
      <c r="F319">
        <v>0</v>
      </c>
    </row>
    <row r="320" spans="6:6">
      <c r="F320">
        <v>0</v>
      </c>
    </row>
    <row r="321" spans="6:6">
      <c r="F321">
        <v>0</v>
      </c>
    </row>
    <row r="322" spans="6:6">
      <c r="F322">
        <v>0</v>
      </c>
    </row>
    <row r="323" spans="6:6">
      <c r="F323">
        <v>0</v>
      </c>
    </row>
    <row r="324" spans="6:6">
      <c r="F324">
        <v>0</v>
      </c>
    </row>
    <row r="325" spans="6:6">
      <c r="F325">
        <v>0</v>
      </c>
    </row>
    <row r="326" spans="6:6">
      <c r="F326">
        <v>0</v>
      </c>
    </row>
    <row r="327" spans="6:6">
      <c r="F327">
        <v>0</v>
      </c>
    </row>
    <row r="328" spans="6:6">
      <c r="F328">
        <v>0</v>
      </c>
    </row>
    <row r="329" spans="6:6">
      <c r="F329">
        <v>0</v>
      </c>
    </row>
    <row r="330" spans="6:6">
      <c r="F330">
        <v>0</v>
      </c>
    </row>
    <row r="331" spans="6:6">
      <c r="F331">
        <v>0</v>
      </c>
    </row>
    <row r="332" spans="6:6">
      <c r="F332">
        <v>0</v>
      </c>
    </row>
    <row r="333" spans="6:6">
      <c r="F333">
        <v>0</v>
      </c>
    </row>
    <row r="334" spans="6:6">
      <c r="F334">
        <v>0</v>
      </c>
    </row>
    <row r="335" spans="6:6">
      <c r="F335">
        <v>0</v>
      </c>
    </row>
    <row r="336" spans="6:6">
      <c r="F336">
        <v>0</v>
      </c>
    </row>
    <row r="337" spans="6:6">
      <c r="F337">
        <v>0</v>
      </c>
    </row>
    <row r="338" spans="6:6">
      <c r="F338">
        <v>0</v>
      </c>
    </row>
    <row r="339" spans="6:6">
      <c r="F339">
        <v>0</v>
      </c>
    </row>
    <row r="340" spans="6:6">
      <c r="F340">
        <v>0</v>
      </c>
    </row>
    <row r="341" spans="6:6">
      <c r="F341">
        <v>0</v>
      </c>
    </row>
    <row r="342" spans="6:6">
      <c r="F342">
        <v>0</v>
      </c>
    </row>
    <row r="343" spans="6:6">
      <c r="F343">
        <v>0</v>
      </c>
    </row>
    <row r="344" spans="6:6">
      <c r="F344">
        <v>0</v>
      </c>
    </row>
    <row r="345" spans="6:6">
      <c r="F345">
        <v>0</v>
      </c>
    </row>
    <row r="346" spans="6:6">
      <c r="F346">
        <v>0</v>
      </c>
    </row>
    <row r="347" spans="6:6">
      <c r="F347">
        <v>0</v>
      </c>
    </row>
    <row r="348" spans="6:6">
      <c r="F348">
        <v>0</v>
      </c>
    </row>
    <row r="349" spans="6:6">
      <c r="F349">
        <v>0</v>
      </c>
    </row>
    <row r="350" spans="6:6">
      <c r="F350">
        <v>0</v>
      </c>
    </row>
    <row r="351" spans="6:6">
      <c r="F351">
        <v>0</v>
      </c>
    </row>
    <row r="352" spans="6:6">
      <c r="F352">
        <v>0</v>
      </c>
    </row>
    <row r="353" spans="6:6">
      <c r="F353">
        <v>0</v>
      </c>
    </row>
    <row r="354" spans="6:6">
      <c r="F354">
        <v>0</v>
      </c>
    </row>
    <row r="355" spans="6:6">
      <c r="F355">
        <v>0</v>
      </c>
    </row>
    <row r="356" spans="6:6">
      <c r="F356">
        <v>0</v>
      </c>
    </row>
    <row r="357" spans="6:6">
      <c r="F357">
        <v>0</v>
      </c>
    </row>
    <row r="358" spans="6:6">
      <c r="F358">
        <v>0</v>
      </c>
    </row>
    <row r="359" spans="6:6">
      <c r="F359">
        <v>0</v>
      </c>
    </row>
    <row r="360" spans="6:6">
      <c r="F360">
        <v>0</v>
      </c>
    </row>
    <row r="361" spans="6:6">
      <c r="F361">
        <v>0</v>
      </c>
    </row>
    <row r="362" spans="6:6">
      <c r="F362">
        <v>0</v>
      </c>
    </row>
    <row r="363" spans="6:6">
      <c r="F363">
        <v>0</v>
      </c>
    </row>
    <row r="364" spans="6:6">
      <c r="F364">
        <v>0</v>
      </c>
    </row>
    <row r="365" spans="6:6">
      <c r="F365">
        <v>0</v>
      </c>
    </row>
    <row r="366" spans="6:6">
      <c r="F366">
        <v>0</v>
      </c>
    </row>
    <row r="367" spans="6:6">
      <c r="F367">
        <v>0</v>
      </c>
    </row>
    <row r="368" spans="6:6">
      <c r="F368">
        <v>0</v>
      </c>
    </row>
    <row r="369" spans="6:6">
      <c r="F369">
        <v>0</v>
      </c>
    </row>
    <row r="370" spans="6:6">
      <c r="F370">
        <v>0</v>
      </c>
    </row>
    <row r="371" spans="6:6">
      <c r="F371">
        <v>0</v>
      </c>
    </row>
    <row r="372" spans="6:6">
      <c r="F372">
        <v>0</v>
      </c>
    </row>
    <row r="373" spans="6:6">
      <c r="F373">
        <v>0</v>
      </c>
    </row>
    <row r="374" spans="6:6">
      <c r="F374">
        <v>0</v>
      </c>
    </row>
    <row r="375" spans="6:6">
      <c r="F375">
        <v>0</v>
      </c>
    </row>
    <row r="376" spans="6:6">
      <c r="F376">
        <v>0</v>
      </c>
    </row>
    <row r="377" spans="6:6">
      <c r="F377">
        <v>0</v>
      </c>
    </row>
    <row r="378" spans="6:6">
      <c r="F378">
        <v>0</v>
      </c>
    </row>
    <row r="379" spans="6:6">
      <c r="F379">
        <v>0</v>
      </c>
    </row>
    <row r="380" spans="6:6">
      <c r="F380">
        <v>0</v>
      </c>
    </row>
    <row r="381" spans="6:6">
      <c r="F381">
        <v>0</v>
      </c>
    </row>
    <row r="382" spans="6:6">
      <c r="F382">
        <v>0</v>
      </c>
    </row>
    <row r="383" spans="6:6">
      <c r="F383">
        <v>0</v>
      </c>
    </row>
    <row r="384" spans="6:6">
      <c r="F384">
        <v>0</v>
      </c>
    </row>
    <row r="385" spans="6:6">
      <c r="F385">
        <v>0</v>
      </c>
    </row>
    <row r="386" spans="6:6">
      <c r="F386">
        <v>0</v>
      </c>
    </row>
    <row r="387" spans="6:6">
      <c r="F387">
        <v>0</v>
      </c>
    </row>
    <row r="388" spans="6:6">
      <c r="F388">
        <v>0</v>
      </c>
    </row>
    <row r="389" spans="6:6">
      <c r="F389">
        <v>0</v>
      </c>
    </row>
    <row r="390" spans="6:6">
      <c r="F390">
        <v>0</v>
      </c>
    </row>
    <row r="391" spans="6:6">
      <c r="F391">
        <v>0</v>
      </c>
    </row>
    <row r="392" spans="6:6">
      <c r="F392">
        <v>0</v>
      </c>
    </row>
    <row r="393" spans="6:6">
      <c r="F393">
        <v>0</v>
      </c>
    </row>
    <row r="394" spans="6:6">
      <c r="F394">
        <v>0</v>
      </c>
    </row>
    <row r="395" spans="6:6">
      <c r="F395">
        <v>0</v>
      </c>
    </row>
    <row r="396" spans="6:6">
      <c r="F396">
        <v>0</v>
      </c>
    </row>
    <row r="397" spans="6:6">
      <c r="F397">
        <v>0</v>
      </c>
    </row>
    <row r="398" spans="6:6">
      <c r="F398">
        <v>0</v>
      </c>
    </row>
    <row r="399" spans="6:6">
      <c r="F399">
        <v>0</v>
      </c>
    </row>
    <row r="400" spans="6:6">
      <c r="F400">
        <v>0</v>
      </c>
    </row>
    <row r="401" spans="6:6">
      <c r="F401">
        <v>0</v>
      </c>
    </row>
    <row r="402" spans="6:6">
      <c r="F402">
        <v>0</v>
      </c>
    </row>
    <row r="403" spans="6:6">
      <c r="F403">
        <v>0</v>
      </c>
    </row>
    <row r="404" spans="6:6">
      <c r="F404">
        <v>0</v>
      </c>
    </row>
    <row r="405" spans="6:6">
      <c r="F405">
        <v>0</v>
      </c>
    </row>
    <row r="406" spans="6:6">
      <c r="F406">
        <v>0</v>
      </c>
    </row>
    <row r="407" spans="6:6">
      <c r="F407">
        <v>0</v>
      </c>
    </row>
    <row r="408" spans="6:6">
      <c r="F408">
        <v>0</v>
      </c>
    </row>
    <row r="409" spans="6:6">
      <c r="F409">
        <v>0</v>
      </c>
    </row>
    <row r="410" spans="6:6">
      <c r="F410">
        <v>0</v>
      </c>
    </row>
    <row r="411" spans="6:6">
      <c r="F411">
        <v>0</v>
      </c>
    </row>
    <row r="412" spans="6:6">
      <c r="F412">
        <v>0</v>
      </c>
    </row>
    <row r="413" spans="6:6">
      <c r="F413">
        <v>0</v>
      </c>
    </row>
    <row r="414" spans="6:6">
      <c r="F414">
        <v>0</v>
      </c>
    </row>
    <row r="415" spans="6:6">
      <c r="F415">
        <v>0</v>
      </c>
    </row>
    <row r="416" spans="6:6">
      <c r="F416">
        <v>0</v>
      </c>
    </row>
    <row r="417" spans="6:6">
      <c r="F417">
        <v>0</v>
      </c>
    </row>
    <row r="418" spans="6:6">
      <c r="F418">
        <v>0</v>
      </c>
    </row>
    <row r="419" spans="6:6">
      <c r="F419">
        <v>0</v>
      </c>
    </row>
    <row r="420" spans="6:6">
      <c r="F420">
        <v>0</v>
      </c>
    </row>
    <row r="421" spans="6:6">
      <c r="F421">
        <v>0</v>
      </c>
    </row>
    <row r="422" spans="6:6">
      <c r="F422">
        <v>0</v>
      </c>
    </row>
    <row r="423" spans="6:6">
      <c r="F423">
        <v>0</v>
      </c>
    </row>
    <row r="424" spans="6:6">
      <c r="F424">
        <v>0</v>
      </c>
    </row>
    <row r="425" spans="6:6">
      <c r="F425">
        <v>0</v>
      </c>
    </row>
    <row r="426" spans="6:6">
      <c r="F426">
        <v>0</v>
      </c>
    </row>
    <row r="427" spans="6:6">
      <c r="F427">
        <v>0</v>
      </c>
    </row>
    <row r="428" spans="6:6">
      <c r="F428">
        <v>0</v>
      </c>
    </row>
    <row r="429" spans="6:6">
      <c r="F429">
        <v>0</v>
      </c>
    </row>
    <row r="430" spans="6:6">
      <c r="F430">
        <v>0</v>
      </c>
    </row>
    <row r="431" spans="6:6">
      <c r="F431">
        <v>0</v>
      </c>
    </row>
    <row r="432" spans="6:6">
      <c r="F432">
        <v>0</v>
      </c>
    </row>
    <row r="433" spans="6:6">
      <c r="F433">
        <v>0</v>
      </c>
    </row>
    <row r="434" spans="6:6">
      <c r="F434">
        <v>0</v>
      </c>
    </row>
    <row r="435" spans="6:6">
      <c r="F435">
        <v>0</v>
      </c>
    </row>
    <row r="436" spans="6:6">
      <c r="F436">
        <v>0</v>
      </c>
    </row>
    <row r="437" spans="6:6">
      <c r="F437">
        <v>0</v>
      </c>
    </row>
    <row r="438" spans="6:6">
      <c r="F438">
        <v>0</v>
      </c>
    </row>
    <row r="439" spans="6:6">
      <c r="F439">
        <v>0</v>
      </c>
    </row>
    <row r="440" spans="6:6">
      <c r="F440">
        <v>0</v>
      </c>
    </row>
    <row r="441" spans="6:6">
      <c r="F441">
        <v>0</v>
      </c>
    </row>
    <row r="442" spans="6:6">
      <c r="F442">
        <v>0</v>
      </c>
    </row>
    <row r="443" spans="6:6">
      <c r="F443">
        <v>0</v>
      </c>
    </row>
    <row r="444" spans="6:6">
      <c r="F444">
        <v>0</v>
      </c>
    </row>
    <row r="445" spans="6:6">
      <c r="F445">
        <v>0</v>
      </c>
    </row>
    <row r="446" spans="6:6">
      <c r="F446">
        <v>0</v>
      </c>
    </row>
    <row r="447" spans="6:6">
      <c r="F447">
        <v>0</v>
      </c>
    </row>
    <row r="448" spans="6:6">
      <c r="F448">
        <v>0</v>
      </c>
    </row>
    <row r="449" spans="6:6">
      <c r="F449">
        <v>0</v>
      </c>
    </row>
    <row r="450" spans="6:6">
      <c r="F450">
        <v>0</v>
      </c>
    </row>
    <row r="451" spans="6:6">
      <c r="F451">
        <v>0</v>
      </c>
    </row>
    <row r="452" spans="6:6">
      <c r="F452">
        <v>0</v>
      </c>
    </row>
    <row r="453" spans="6:6">
      <c r="F453">
        <v>0</v>
      </c>
    </row>
    <row r="454" spans="6:6">
      <c r="F454">
        <v>0</v>
      </c>
    </row>
    <row r="455" spans="6:6">
      <c r="F455">
        <v>0</v>
      </c>
    </row>
    <row r="456" spans="6:6">
      <c r="F456">
        <v>0</v>
      </c>
    </row>
    <row r="457" spans="6:6">
      <c r="F457">
        <v>0</v>
      </c>
    </row>
    <row r="458" spans="6:6">
      <c r="F458">
        <v>0</v>
      </c>
    </row>
    <row r="459" spans="6:6">
      <c r="F459">
        <v>0</v>
      </c>
    </row>
    <row r="460" spans="6:6">
      <c r="F460">
        <v>0</v>
      </c>
    </row>
    <row r="461" spans="6:6">
      <c r="F461">
        <v>0</v>
      </c>
    </row>
    <row r="462" spans="6:6">
      <c r="F462">
        <v>0</v>
      </c>
    </row>
    <row r="463" spans="6:6">
      <c r="F463">
        <v>0</v>
      </c>
    </row>
    <row r="464" spans="6:6">
      <c r="F464">
        <v>0</v>
      </c>
    </row>
    <row r="465" spans="6:6">
      <c r="F465">
        <v>0</v>
      </c>
    </row>
    <row r="466" spans="6:6">
      <c r="F466">
        <v>0</v>
      </c>
    </row>
    <row r="467" spans="6:6">
      <c r="F467">
        <v>0</v>
      </c>
    </row>
    <row r="468" spans="6:6">
      <c r="F468">
        <v>0</v>
      </c>
    </row>
    <row r="469" spans="6:6">
      <c r="F469">
        <v>0</v>
      </c>
    </row>
    <row r="470" spans="6:6">
      <c r="F470">
        <v>0</v>
      </c>
    </row>
    <row r="471" spans="6:6">
      <c r="F471">
        <v>0</v>
      </c>
    </row>
    <row r="472" spans="6:6">
      <c r="F472">
        <v>0</v>
      </c>
    </row>
    <row r="473" spans="6:6">
      <c r="F473">
        <v>0</v>
      </c>
    </row>
    <row r="474" spans="6:6">
      <c r="F474">
        <v>0</v>
      </c>
    </row>
    <row r="475" spans="6:6">
      <c r="F475">
        <v>0</v>
      </c>
    </row>
    <row r="476" spans="6:6">
      <c r="F476">
        <v>0</v>
      </c>
    </row>
    <row r="477" spans="6:6">
      <c r="F477">
        <v>0</v>
      </c>
    </row>
    <row r="478" spans="6:6">
      <c r="F478">
        <v>0</v>
      </c>
    </row>
    <row r="479" spans="6:6">
      <c r="F479">
        <v>0</v>
      </c>
    </row>
    <row r="480" spans="6:6">
      <c r="F480">
        <v>0</v>
      </c>
    </row>
    <row r="481" spans="6:6">
      <c r="F481">
        <v>0</v>
      </c>
    </row>
    <row r="482" spans="6:6">
      <c r="F482">
        <v>0</v>
      </c>
    </row>
    <row r="483" spans="6:6">
      <c r="F483">
        <v>0</v>
      </c>
    </row>
    <row r="484" spans="6:6">
      <c r="F484">
        <v>0</v>
      </c>
    </row>
    <row r="485" spans="6:6">
      <c r="F485">
        <v>0</v>
      </c>
    </row>
    <row r="486" spans="6:6">
      <c r="F486">
        <v>0</v>
      </c>
    </row>
    <row r="487" spans="6:6">
      <c r="F487">
        <v>0</v>
      </c>
    </row>
    <row r="488" spans="6:6">
      <c r="F488">
        <v>0</v>
      </c>
    </row>
    <row r="489" spans="6:6">
      <c r="F489">
        <v>0</v>
      </c>
    </row>
    <row r="490" spans="6:6">
      <c r="F490">
        <v>0</v>
      </c>
    </row>
    <row r="491" spans="6:6">
      <c r="F491">
        <v>0</v>
      </c>
    </row>
    <row r="492" spans="6:6">
      <c r="F492">
        <v>0</v>
      </c>
    </row>
    <row r="493" spans="6:6">
      <c r="F493">
        <v>0</v>
      </c>
    </row>
    <row r="494" spans="6:6">
      <c r="F494">
        <v>0</v>
      </c>
    </row>
    <row r="495" spans="6:6">
      <c r="F495">
        <v>0</v>
      </c>
    </row>
    <row r="496" spans="6:6">
      <c r="F496">
        <v>0</v>
      </c>
    </row>
    <row r="497" spans="6:6">
      <c r="F497">
        <v>0</v>
      </c>
    </row>
    <row r="498" spans="6:6">
      <c r="F498">
        <v>0</v>
      </c>
    </row>
    <row r="499" spans="6:6">
      <c r="F499">
        <v>0</v>
      </c>
    </row>
    <row r="500" spans="6:6">
      <c r="F500">
        <v>0</v>
      </c>
    </row>
    <row r="501" spans="6:6">
      <c r="F501">
        <v>0</v>
      </c>
    </row>
    <row r="502" spans="6:6">
      <c r="F502">
        <v>0</v>
      </c>
    </row>
    <row r="503" spans="6:6">
      <c r="F503">
        <v>0</v>
      </c>
    </row>
    <row r="504" spans="6:6">
      <c r="F504">
        <v>0</v>
      </c>
    </row>
    <row r="505" spans="6:6">
      <c r="F505">
        <v>0</v>
      </c>
    </row>
    <row r="506" spans="6:6">
      <c r="F506">
        <v>0</v>
      </c>
    </row>
    <row r="507" spans="6:6">
      <c r="F507">
        <v>0</v>
      </c>
    </row>
    <row r="508" spans="6:6">
      <c r="F508">
        <v>0</v>
      </c>
    </row>
    <row r="509" spans="6:6">
      <c r="F509">
        <v>0</v>
      </c>
    </row>
    <row r="510" spans="6:6">
      <c r="F510">
        <v>0</v>
      </c>
    </row>
    <row r="511" spans="6:6">
      <c r="F511">
        <v>0</v>
      </c>
    </row>
    <row r="512" spans="6:6">
      <c r="F512">
        <v>0</v>
      </c>
    </row>
    <row r="513" spans="6:6">
      <c r="F513">
        <v>0</v>
      </c>
    </row>
    <row r="514" spans="6:6">
      <c r="F514">
        <v>0</v>
      </c>
    </row>
    <row r="515" spans="6:6">
      <c r="F515">
        <v>0</v>
      </c>
    </row>
    <row r="516" spans="6:6">
      <c r="F516">
        <v>0</v>
      </c>
    </row>
    <row r="517" spans="6:6">
      <c r="F517">
        <v>0</v>
      </c>
    </row>
    <row r="518" spans="6:6">
      <c r="F518">
        <v>0</v>
      </c>
    </row>
    <row r="519" spans="6:6">
      <c r="F519">
        <v>0</v>
      </c>
    </row>
    <row r="520" spans="6:6">
      <c r="F520">
        <v>0</v>
      </c>
    </row>
    <row r="521" spans="6:6">
      <c r="F521">
        <v>0</v>
      </c>
    </row>
    <row r="522" spans="6:6">
      <c r="F522">
        <v>0</v>
      </c>
    </row>
    <row r="523" spans="6:6">
      <c r="F523">
        <v>0</v>
      </c>
    </row>
    <row r="524" spans="6:6">
      <c r="F524">
        <v>0</v>
      </c>
    </row>
    <row r="525" spans="6:6">
      <c r="F525">
        <v>0</v>
      </c>
    </row>
    <row r="526" spans="6:6">
      <c r="F526">
        <v>0</v>
      </c>
    </row>
    <row r="527" spans="6:6">
      <c r="F527">
        <v>0</v>
      </c>
    </row>
    <row r="528" spans="6:6">
      <c r="F528">
        <v>0</v>
      </c>
    </row>
    <row r="529" spans="6:6">
      <c r="F529">
        <v>0</v>
      </c>
    </row>
    <row r="530" spans="6:6">
      <c r="F530">
        <v>0</v>
      </c>
    </row>
    <row r="531" spans="6:6">
      <c r="F531">
        <v>0</v>
      </c>
    </row>
    <row r="532" spans="6:6">
      <c r="F532">
        <v>0</v>
      </c>
    </row>
    <row r="533" spans="6:6">
      <c r="F533">
        <v>0</v>
      </c>
    </row>
    <row r="534" spans="6:6">
      <c r="F534">
        <v>0</v>
      </c>
    </row>
    <row r="535" spans="6:6">
      <c r="F535">
        <v>0</v>
      </c>
    </row>
    <row r="536" spans="6:6">
      <c r="F536">
        <v>0</v>
      </c>
    </row>
    <row r="537" spans="6:6">
      <c r="F537">
        <v>0</v>
      </c>
    </row>
    <row r="538" spans="6:6">
      <c r="F538">
        <v>0</v>
      </c>
    </row>
    <row r="539" spans="6:6">
      <c r="F539">
        <v>0</v>
      </c>
    </row>
    <row r="540" spans="6:6">
      <c r="F540">
        <v>0</v>
      </c>
    </row>
    <row r="541" spans="6:6">
      <c r="F541">
        <v>0</v>
      </c>
    </row>
    <row r="542" spans="6:6">
      <c r="F542">
        <v>0</v>
      </c>
    </row>
    <row r="543" spans="6:6">
      <c r="F543">
        <v>0</v>
      </c>
    </row>
    <row r="544" spans="6:6">
      <c r="F544">
        <v>0</v>
      </c>
    </row>
    <row r="545" spans="6:6">
      <c r="F545">
        <v>0</v>
      </c>
    </row>
    <row r="546" spans="6:6">
      <c r="F546">
        <v>0</v>
      </c>
    </row>
    <row r="547" spans="6:6">
      <c r="F547">
        <v>0</v>
      </c>
    </row>
    <row r="548" spans="6:6">
      <c r="F548">
        <v>0</v>
      </c>
    </row>
    <row r="549" spans="6:6">
      <c r="F549">
        <v>0</v>
      </c>
    </row>
    <row r="550" spans="6:6">
      <c r="F550">
        <v>0</v>
      </c>
    </row>
    <row r="551" spans="6:6">
      <c r="F551">
        <v>0</v>
      </c>
    </row>
    <row r="552" spans="6:6">
      <c r="F552">
        <v>0</v>
      </c>
    </row>
    <row r="553" spans="6:6">
      <c r="F553">
        <v>0</v>
      </c>
    </row>
    <row r="554" spans="6:6">
      <c r="F554">
        <v>0</v>
      </c>
    </row>
    <row r="555" spans="6:6">
      <c r="F555">
        <v>0</v>
      </c>
    </row>
    <row r="556" spans="6:6">
      <c r="F556">
        <v>0</v>
      </c>
    </row>
    <row r="557" spans="6:6">
      <c r="F557">
        <v>0</v>
      </c>
    </row>
    <row r="558" spans="6:6">
      <c r="F558">
        <v>0</v>
      </c>
    </row>
    <row r="559" spans="6:6">
      <c r="F559">
        <v>0</v>
      </c>
    </row>
    <row r="560" spans="6:6">
      <c r="F560">
        <v>0</v>
      </c>
    </row>
    <row r="561" spans="6:6">
      <c r="F561">
        <v>0</v>
      </c>
    </row>
    <row r="562" spans="6:6">
      <c r="F562">
        <v>0</v>
      </c>
    </row>
    <row r="563" spans="6:6">
      <c r="F563">
        <v>0</v>
      </c>
    </row>
    <row r="564" spans="6:6">
      <c r="F564">
        <v>0</v>
      </c>
    </row>
    <row r="565" spans="6:6">
      <c r="F565">
        <v>0</v>
      </c>
    </row>
    <row r="566" spans="6:6">
      <c r="F566">
        <v>0</v>
      </c>
    </row>
    <row r="567" spans="6:6">
      <c r="F567">
        <v>0</v>
      </c>
    </row>
    <row r="568" spans="6:6">
      <c r="F568">
        <v>0</v>
      </c>
    </row>
    <row r="569" spans="6:6">
      <c r="F569">
        <v>0</v>
      </c>
    </row>
    <row r="570" spans="6:6">
      <c r="F570">
        <v>0</v>
      </c>
    </row>
    <row r="571" spans="6:6">
      <c r="F571">
        <v>0</v>
      </c>
    </row>
    <row r="572" spans="6:6">
      <c r="F572">
        <v>0</v>
      </c>
    </row>
    <row r="573" spans="6:6">
      <c r="F573">
        <v>0</v>
      </c>
    </row>
    <row r="574" spans="6:6">
      <c r="F574">
        <v>0</v>
      </c>
    </row>
    <row r="575" spans="6:6">
      <c r="F575">
        <v>0</v>
      </c>
    </row>
    <row r="576" spans="6:6">
      <c r="F576">
        <v>0</v>
      </c>
    </row>
    <row r="577" spans="6:6">
      <c r="F577">
        <v>0</v>
      </c>
    </row>
    <row r="578" spans="6:6">
      <c r="F578">
        <v>0</v>
      </c>
    </row>
    <row r="579" spans="6:6">
      <c r="F579">
        <v>0</v>
      </c>
    </row>
    <row r="580" spans="6:6">
      <c r="F580">
        <v>0</v>
      </c>
    </row>
    <row r="581" spans="6:6">
      <c r="F581">
        <v>0</v>
      </c>
    </row>
    <row r="582" spans="6:6">
      <c r="F582">
        <v>0</v>
      </c>
    </row>
    <row r="583" spans="6:6">
      <c r="F583">
        <v>0</v>
      </c>
    </row>
    <row r="584" spans="6:6">
      <c r="F584">
        <v>0</v>
      </c>
    </row>
    <row r="585" spans="6:6">
      <c r="F585">
        <v>0</v>
      </c>
    </row>
    <row r="586" spans="6:6">
      <c r="F586">
        <v>0</v>
      </c>
    </row>
    <row r="587" spans="6:6">
      <c r="F587">
        <v>0</v>
      </c>
    </row>
    <row r="588" spans="6:6">
      <c r="F588">
        <v>0</v>
      </c>
    </row>
    <row r="589" spans="6:6">
      <c r="F589">
        <v>0</v>
      </c>
    </row>
    <row r="590" spans="6:6">
      <c r="F590">
        <v>0</v>
      </c>
    </row>
    <row r="591" spans="6:6">
      <c r="F591">
        <v>0</v>
      </c>
    </row>
    <row r="592" spans="6:6">
      <c r="F592">
        <v>0</v>
      </c>
    </row>
    <row r="593" spans="6:7">
      <c r="F593">
        <v>0</v>
      </c>
    </row>
    <row r="594" spans="6:7">
      <c r="F594">
        <v>0</v>
      </c>
    </row>
    <row r="595" spans="6:7">
      <c r="F595">
        <v>0</v>
      </c>
    </row>
    <row r="596" spans="6:7">
      <c r="F596">
        <v>0</v>
      </c>
    </row>
    <row r="597" spans="6:7">
      <c r="F597">
        <v>0</v>
      </c>
    </row>
    <row r="598" spans="6:7">
      <c r="F598">
        <v>0</v>
      </c>
    </row>
    <row r="599" spans="6:7">
      <c r="F599">
        <v>0</v>
      </c>
    </row>
    <row r="600" spans="6:7">
      <c r="F600" t="str" cm="1">
        <f t="array" ref="F600:F898">C2:C300</f>
        <v>Levantar custos</v>
      </c>
      <c r="G600" s="43" t="s">
        <v>56</v>
      </c>
    </row>
    <row r="601" spans="6:7">
      <c r="F601" t="str">
        <v>Inclusão no orçamento</v>
      </c>
    </row>
    <row r="602" spans="6:7">
      <c r="F602">
        <v>0</v>
      </c>
    </row>
    <row r="603" spans="6:7">
      <c r="F603">
        <v>0</v>
      </c>
    </row>
    <row r="604" spans="6:7">
      <c r="F604">
        <v>0</v>
      </c>
    </row>
    <row r="605" spans="6:7">
      <c r="F605">
        <v>0</v>
      </c>
    </row>
    <row r="606" spans="6:7">
      <c r="F606">
        <v>0</v>
      </c>
    </row>
    <row r="607" spans="6:7">
      <c r="F607">
        <v>0</v>
      </c>
    </row>
    <row r="608" spans="6:7">
      <c r="F608">
        <v>0</v>
      </c>
    </row>
    <row r="609" spans="6:6">
      <c r="F609">
        <v>0</v>
      </c>
    </row>
    <row r="610" spans="6:6">
      <c r="F610">
        <v>0</v>
      </c>
    </row>
    <row r="611" spans="6:6">
      <c r="F611">
        <v>0</v>
      </c>
    </row>
    <row r="612" spans="6:6">
      <c r="F612">
        <v>0</v>
      </c>
    </row>
    <row r="613" spans="6:6">
      <c r="F613">
        <v>0</v>
      </c>
    </row>
    <row r="614" spans="6:6">
      <c r="F614">
        <v>0</v>
      </c>
    </row>
    <row r="615" spans="6:6">
      <c r="F615">
        <v>0</v>
      </c>
    </row>
    <row r="616" spans="6:6">
      <c r="F616">
        <v>0</v>
      </c>
    </row>
    <row r="617" spans="6:6">
      <c r="F617">
        <v>0</v>
      </c>
    </row>
    <row r="618" spans="6:6">
      <c r="F618">
        <v>0</v>
      </c>
    </row>
    <row r="619" spans="6:6">
      <c r="F619">
        <v>0</v>
      </c>
    </row>
    <row r="620" spans="6:6">
      <c r="F620">
        <v>0</v>
      </c>
    </row>
    <row r="621" spans="6:6">
      <c r="F621">
        <v>0</v>
      </c>
    </row>
    <row r="622" spans="6:6">
      <c r="F622">
        <v>0</v>
      </c>
    </row>
    <row r="623" spans="6:6">
      <c r="F623">
        <v>0</v>
      </c>
    </row>
    <row r="624" spans="6:6">
      <c r="F624">
        <v>0</v>
      </c>
    </row>
    <row r="625" spans="6:6">
      <c r="F625">
        <v>0</v>
      </c>
    </row>
    <row r="626" spans="6:6">
      <c r="F626">
        <v>0</v>
      </c>
    </row>
    <row r="627" spans="6:6">
      <c r="F627">
        <v>0</v>
      </c>
    </row>
    <row r="628" spans="6:6">
      <c r="F628">
        <v>0</v>
      </c>
    </row>
    <row r="629" spans="6:6">
      <c r="F629">
        <v>0</v>
      </c>
    </row>
    <row r="630" spans="6:6">
      <c r="F630">
        <v>0</v>
      </c>
    </row>
    <row r="631" spans="6:6">
      <c r="F631">
        <v>0</v>
      </c>
    </row>
    <row r="632" spans="6:6">
      <c r="F632">
        <v>0</v>
      </c>
    </row>
    <row r="633" spans="6:6">
      <c r="F633">
        <v>0</v>
      </c>
    </row>
    <row r="634" spans="6:6">
      <c r="F634">
        <v>0</v>
      </c>
    </row>
    <row r="635" spans="6:6">
      <c r="F635">
        <v>0</v>
      </c>
    </row>
    <row r="636" spans="6:6">
      <c r="F636">
        <v>0</v>
      </c>
    </row>
    <row r="637" spans="6:6">
      <c r="F637">
        <v>0</v>
      </c>
    </row>
    <row r="638" spans="6:6">
      <c r="F638">
        <v>0</v>
      </c>
    </row>
    <row r="639" spans="6:6">
      <c r="F639">
        <v>0</v>
      </c>
    </row>
    <row r="640" spans="6:6">
      <c r="F640">
        <v>0</v>
      </c>
    </row>
    <row r="641" spans="6:6">
      <c r="F641">
        <v>0</v>
      </c>
    </row>
    <row r="642" spans="6:6">
      <c r="F642">
        <v>0</v>
      </c>
    </row>
    <row r="643" spans="6:6">
      <c r="F643">
        <v>0</v>
      </c>
    </row>
    <row r="644" spans="6:6">
      <c r="F644">
        <v>0</v>
      </c>
    </row>
    <row r="645" spans="6:6">
      <c r="F645">
        <v>0</v>
      </c>
    </row>
    <row r="646" spans="6:6">
      <c r="F646">
        <v>0</v>
      </c>
    </row>
    <row r="647" spans="6:6">
      <c r="F647">
        <v>0</v>
      </c>
    </row>
    <row r="648" spans="6:6">
      <c r="F648">
        <v>0</v>
      </c>
    </row>
    <row r="649" spans="6:6">
      <c r="F649">
        <v>0</v>
      </c>
    </row>
    <row r="650" spans="6:6">
      <c r="F650">
        <v>0</v>
      </c>
    </row>
    <row r="651" spans="6:6">
      <c r="F651">
        <v>0</v>
      </c>
    </row>
    <row r="652" spans="6:6">
      <c r="F652">
        <v>0</v>
      </c>
    </row>
    <row r="653" spans="6:6">
      <c r="F653">
        <v>0</v>
      </c>
    </row>
    <row r="654" spans="6:6">
      <c r="F654">
        <v>0</v>
      </c>
    </row>
    <row r="655" spans="6:6">
      <c r="F655">
        <v>0</v>
      </c>
    </row>
    <row r="656" spans="6:6">
      <c r="F656">
        <v>0</v>
      </c>
    </row>
    <row r="657" spans="6:6">
      <c r="F657">
        <v>0</v>
      </c>
    </row>
    <row r="658" spans="6:6">
      <c r="F658">
        <v>0</v>
      </c>
    </row>
    <row r="659" spans="6:6">
      <c r="F659">
        <v>0</v>
      </c>
    </row>
    <row r="660" spans="6:6">
      <c r="F660">
        <v>0</v>
      </c>
    </row>
    <row r="661" spans="6:6">
      <c r="F661">
        <v>0</v>
      </c>
    </row>
    <row r="662" spans="6:6">
      <c r="F662">
        <v>0</v>
      </c>
    </row>
    <row r="663" spans="6:6">
      <c r="F663">
        <v>0</v>
      </c>
    </row>
    <row r="664" spans="6:6">
      <c r="F664">
        <v>0</v>
      </c>
    </row>
    <row r="665" spans="6:6">
      <c r="F665">
        <v>0</v>
      </c>
    </row>
    <row r="666" spans="6:6">
      <c r="F666">
        <v>0</v>
      </c>
    </row>
    <row r="667" spans="6:6">
      <c r="F667">
        <v>0</v>
      </c>
    </row>
    <row r="668" spans="6:6">
      <c r="F668">
        <v>0</v>
      </c>
    </row>
    <row r="669" spans="6:6">
      <c r="F669">
        <v>0</v>
      </c>
    </row>
    <row r="670" spans="6:6">
      <c r="F670">
        <v>0</v>
      </c>
    </row>
    <row r="671" spans="6:6">
      <c r="F671">
        <v>0</v>
      </c>
    </row>
    <row r="672" spans="6:6">
      <c r="F672">
        <v>0</v>
      </c>
    </row>
    <row r="673" spans="6:6">
      <c r="F673">
        <v>0</v>
      </c>
    </row>
    <row r="674" spans="6:6">
      <c r="F674">
        <v>0</v>
      </c>
    </row>
    <row r="675" spans="6:6">
      <c r="F675">
        <v>0</v>
      </c>
    </row>
    <row r="676" spans="6:6">
      <c r="F676">
        <v>0</v>
      </c>
    </row>
    <row r="677" spans="6:6">
      <c r="F677">
        <v>0</v>
      </c>
    </row>
    <row r="678" spans="6:6">
      <c r="F678">
        <v>0</v>
      </c>
    </row>
    <row r="679" spans="6:6">
      <c r="F679">
        <v>0</v>
      </c>
    </row>
    <row r="680" spans="6:6">
      <c r="F680">
        <v>0</v>
      </c>
    </row>
    <row r="681" spans="6:6">
      <c r="F681">
        <v>0</v>
      </c>
    </row>
    <row r="682" spans="6:6">
      <c r="F682">
        <v>0</v>
      </c>
    </row>
    <row r="683" spans="6:6">
      <c r="F683">
        <v>0</v>
      </c>
    </row>
    <row r="684" spans="6:6">
      <c r="F684">
        <v>0</v>
      </c>
    </row>
    <row r="685" spans="6:6">
      <c r="F685">
        <v>0</v>
      </c>
    </row>
    <row r="686" spans="6:6">
      <c r="F686">
        <v>0</v>
      </c>
    </row>
    <row r="687" spans="6:6">
      <c r="F687">
        <v>0</v>
      </c>
    </row>
    <row r="688" spans="6:6">
      <c r="F688">
        <v>0</v>
      </c>
    </row>
    <row r="689" spans="6:6">
      <c r="F689">
        <v>0</v>
      </c>
    </row>
    <row r="690" spans="6:6">
      <c r="F690">
        <v>0</v>
      </c>
    </row>
    <row r="691" spans="6:6">
      <c r="F691">
        <v>0</v>
      </c>
    </row>
    <row r="692" spans="6:6">
      <c r="F692">
        <v>0</v>
      </c>
    </row>
    <row r="693" spans="6:6">
      <c r="F693">
        <v>0</v>
      </c>
    </row>
    <row r="694" spans="6:6">
      <c r="F694">
        <v>0</v>
      </c>
    </row>
    <row r="695" spans="6:6">
      <c r="F695">
        <v>0</v>
      </c>
    </row>
    <row r="696" spans="6:6">
      <c r="F696">
        <v>0</v>
      </c>
    </row>
    <row r="697" spans="6:6">
      <c r="F697">
        <v>0</v>
      </c>
    </row>
    <row r="698" spans="6:6">
      <c r="F698">
        <v>0</v>
      </c>
    </row>
    <row r="699" spans="6:6">
      <c r="F699">
        <v>0</v>
      </c>
    </row>
    <row r="700" spans="6:6">
      <c r="F700">
        <v>0</v>
      </c>
    </row>
    <row r="701" spans="6:6">
      <c r="F701">
        <v>0</v>
      </c>
    </row>
    <row r="702" spans="6:6">
      <c r="F702">
        <v>0</v>
      </c>
    </row>
    <row r="703" spans="6:6">
      <c r="F703">
        <v>0</v>
      </c>
    </row>
    <row r="704" spans="6:6">
      <c r="F704">
        <v>0</v>
      </c>
    </row>
    <row r="705" spans="6:6">
      <c r="F705">
        <v>0</v>
      </c>
    </row>
    <row r="706" spans="6:6">
      <c r="F706">
        <v>0</v>
      </c>
    </row>
    <row r="707" spans="6:6">
      <c r="F707">
        <v>0</v>
      </c>
    </row>
    <row r="708" spans="6:6">
      <c r="F708">
        <v>0</v>
      </c>
    </row>
    <row r="709" spans="6:6">
      <c r="F709">
        <v>0</v>
      </c>
    </row>
    <row r="710" spans="6:6">
      <c r="F710">
        <v>0</v>
      </c>
    </row>
    <row r="711" spans="6:6">
      <c r="F711">
        <v>0</v>
      </c>
    </row>
    <row r="712" spans="6:6">
      <c r="F712">
        <v>0</v>
      </c>
    </row>
    <row r="713" spans="6:6">
      <c r="F713">
        <v>0</v>
      </c>
    </row>
    <row r="714" spans="6:6">
      <c r="F714">
        <v>0</v>
      </c>
    </row>
    <row r="715" spans="6:6">
      <c r="F715">
        <v>0</v>
      </c>
    </row>
    <row r="716" spans="6:6">
      <c r="F716">
        <v>0</v>
      </c>
    </row>
    <row r="717" spans="6:6">
      <c r="F717">
        <v>0</v>
      </c>
    </row>
    <row r="718" spans="6:6">
      <c r="F718">
        <v>0</v>
      </c>
    </row>
    <row r="719" spans="6:6">
      <c r="F719">
        <v>0</v>
      </c>
    </row>
    <row r="720" spans="6:6">
      <c r="F720">
        <v>0</v>
      </c>
    </row>
    <row r="721" spans="6:6">
      <c r="F721">
        <v>0</v>
      </c>
    </row>
    <row r="722" spans="6:6">
      <c r="F722">
        <v>0</v>
      </c>
    </row>
    <row r="723" spans="6:6">
      <c r="F723">
        <v>0</v>
      </c>
    </row>
    <row r="724" spans="6:6">
      <c r="F724">
        <v>0</v>
      </c>
    </row>
    <row r="725" spans="6:6">
      <c r="F725">
        <v>0</v>
      </c>
    </row>
    <row r="726" spans="6:6">
      <c r="F726">
        <v>0</v>
      </c>
    </row>
    <row r="727" spans="6:6">
      <c r="F727">
        <v>0</v>
      </c>
    </row>
    <row r="728" spans="6:6">
      <c r="F728">
        <v>0</v>
      </c>
    </row>
    <row r="729" spans="6:6">
      <c r="F729">
        <v>0</v>
      </c>
    </row>
    <row r="730" spans="6:6">
      <c r="F730">
        <v>0</v>
      </c>
    </row>
    <row r="731" spans="6:6">
      <c r="F731">
        <v>0</v>
      </c>
    </row>
    <row r="732" spans="6:6">
      <c r="F732">
        <v>0</v>
      </c>
    </row>
    <row r="733" spans="6:6">
      <c r="F733">
        <v>0</v>
      </c>
    </row>
    <row r="734" spans="6:6">
      <c r="F734">
        <v>0</v>
      </c>
    </row>
    <row r="735" spans="6:6">
      <c r="F735">
        <v>0</v>
      </c>
    </row>
    <row r="736" spans="6:6">
      <c r="F736">
        <v>0</v>
      </c>
    </row>
    <row r="737" spans="6:6">
      <c r="F737">
        <v>0</v>
      </c>
    </row>
    <row r="738" spans="6:6">
      <c r="F738">
        <v>0</v>
      </c>
    </row>
    <row r="739" spans="6:6">
      <c r="F739">
        <v>0</v>
      </c>
    </row>
    <row r="740" spans="6:6">
      <c r="F740">
        <v>0</v>
      </c>
    </row>
    <row r="741" spans="6:6">
      <c r="F741">
        <v>0</v>
      </c>
    </row>
    <row r="742" spans="6:6">
      <c r="F742">
        <v>0</v>
      </c>
    </row>
    <row r="743" spans="6:6">
      <c r="F743">
        <v>0</v>
      </c>
    </row>
    <row r="744" spans="6:6">
      <c r="F744">
        <v>0</v>
      </c>
    </row>
    <row r="745" spans="6:6">
      <c r="F745">
        <v>0</v>
      </c>
    </row>
    <row r="746" spans="6:6">
      <c r="F746">
        <v>0</v>
      </c>
    </row>
    <row r="747" spans="6:6">
      <c r="F747">
        <v>0</v>
      </c>
    </row>
    <row r="748" spans="6:6">
      <c r="F748">
        <v>0</v>
      </c>
    </row>
    <row r="749" spans="6:6">
      <c r="F749">
        <v>0</v>
      </c>
    </row>
    <row r="750" spans="6:6">
      <c r="F750">
        <v>0</v>
      </c>
    </row>
    <row r="751" spans="6:6">
      <c r="F751">
        <v>0</v>
      </c>
    </row>
    <row r="752" spans="6:6">
      <c r="F752">
        <v>0</v>
      </c>
    </row>
    <row r="753" spans="6:6">
      <c r="F753">
        <v>0</v>
      </c>
    </row>
    <row r="754" spans="6:6">
      <c r="F754">
        <v>0</v>
      </c>
    </row>
    <row r="755" spans="6:6">
      <c r="F755">
        <v>0</v>
      </c>
    </row>
    <row r="756" spans="6:6">
      <c r="F756">
        <v>0</v>
      </c>
    </row>
    <row r="757" spans="6:6">
      <c r="F757">
        <v>0</v>
      </c>
    </row>
    <row r="758" spans="6:6">
      <c r="F758">
        <v>0</v>
      </c>
    </row>
    <row r="759" spans="6:6">
      <c r="F759">
        <v>0</v>
      </c>
    </row>
    <row r="760" spans="6:6">
      <c r="F760">
        <v>0</v>
      </c>
    </row>
    <row r="761" spans="6:6">
      <c r="F761">
        <v>0</v>
      </c>
    </row>
    <row r="762" spans="6:6">
      <c r="F762">
        <v>0</v>
      </c>
    </row>
    <row r="763" spans="6:6">
      <c r="F763">
        <v>0</v>
      </c>
    </row>
    <row r="764" spans="6:6">
      <c r="F764">
        <v>0</v>
      </c>
    </row>
    <row r="765" spans="6:6">
      <c r="F765">
        <v>0</v>
      </c>
    </row>
    <row r="766" spans="6:6">
      <c r="F766">
        <v>0</v>
      </c>
    </row>
    <row r="767" spans="6:6">
      <c r="F767">
        <v>0</v>
      </c>
    </row>
    <row r="768" spans="6:6">
      <c r="F768">
        <v>0</v>
      </c>
    </row>
    <row r="769" spans="6:6">
      <c r="F769">
        <v>0</v>
      </c>
    </row>
    <row r="770" spans="6:6">
      <c r="F770">
        <v>0</v>
      </c>
    </row>
    <row r="771" spans="6:6">
      <c r="F771">
        <v>0</v>
      </c>
    </row>
    <row r="772" spans="6:6">
      <c r="F772">
        <v>0</v>
      </c>
    </row>
    <row r="773" spans="6:6">
      <c r="F773">
        <v>0</v>
      </c>
    </row>
    <row r="774" spans="6:6">
      <c r="F774">
        <v>0</v>
      </c>
    </row>
    <row r="775" spans="6:6">
      <c r="F775">
        <v>0</v>
      </c>
    </row>
    <row r="776" spans="6:6">
      <c r="F776">
        <v>0</v>
      </c>
    </row>
    <row r="777" spans="6:6">
      <c r="F777">
        <v>0</v>
      </c>
    </row>
    <row r="778" spans="6:6">
      <c r="F778">
        <v>0</v>
      </c>
    </row>
    <row r="779" spans="6:6">
      <c r="F779">
        <v>0</v>
      </c>
    </row>
    <row r="780" spans="6:6">
      <c r="F780">
        <v>0</v>
      </c>
    </row>
    <row r="781" spans="6:6">
      <c r="F781">
        <v>0</v>
      </c>
    </row>
    <row r="782" spans="6:6">
      <c r="F782">
        <v>0</v>
      </c>
    </row>
    <row r="783" spans="6:6">
      <c r="F783">
        <v>0</v>
      </c>
    </row>
    <row r="784" spans="6:6">
      <c r="F784">
        <v>0</v>
      </c>
    </row>
    <row r="785" spans="6:6">
      <c r="F785">
        <v>0</v>
      </c>
    </row>
    <row r="786" spans="6:6">
      <c r="F786">
        <v>0</v>
      </c>
    </row>
    <row r="787" spans="6:6">
      <c r="F787">
        <v>0</v>
      </c>
    </row>
    <row r="788" spans="6:6">
      <c r="F788">
        <v>0</v>
      </c>
    </row>
    <row r="789" spans="6:6">
      <c r="F789">
        <v>0</v>
      </c>
    </row>
    <row r="790" spans="6:6">
      <c r="F790">
        <v>0</v>
      </c>
    </row>
    <row r="791" spans="6:6">
      <c r="F791">
        <v>0</v>
      </c>
    </row>
    <row r="792" spans="6:6">
      <c r="F792">
        <v>0</v>
      </c>
    </row>
    <row r="793" spans="6:6">
      <c r="F793">
        <v>0</v>
      </c>
    </row>
    <row r="794" spans="6:6">
      <c r="F794">
        <v>0</v>
      </c>
    </row>
    <row r="795" spans="6:6">
      <c r="F795">
        <v>0</v>
      </c>
    </row>
    <row r="796" spans="6:6">
      <c r="F796">
        <v>0</v>
      </c>
    </row>
    <row r="797" spans="6:6">
      <c r="F797">
        <v>0</v>
      </c>
    </row>
    <row r="798" spans="6:6">
      <c r="F798">
        <v>0</v>
      </c>
    </row>
    <row r="799" spans="6:6">
      <c r="F799">
        <v>0</v>
      </c>
    </row>
    <row r="800" spans="6:6">
      <c r="F800">
        <v>0</v>
      </c>
    </row>
    <row r="801" spans="6:6">
      <c r="F801">
        <v>0</v>
      </c>
    </row>
    <row r="802" spans="6:6">
      <c r="F802">
        <v>0</v>
      </c>
    </row>
    <row r="803" spans="6:6">
      <c r="F803">
        <v>0</v>
      </c>
    </row>
    <row r="804" spans="6:6">
      <c r="F804">
        <v>0</v>
      </c>
    </row>
    <row r="805" spans="6:6">
      <c r="F805">
        <v>0</v>
      </c>
    </row>
    <row r="806" spans="6:6">
      <c r="F806">
        <v>0</v>
      </c>
    </row>
    <row r="807" spans="6:6">
      <c r="F807">
        <v>0</v>
      </c>
    </row>
    <row r="808" spans="6:6">
      <c r="F808">
        <v>0</v>
      </c>
    </row>
    <row r="809" spans="6:6">
      <c r="F809">
        <v>0</v>
      </c>
    </row>
    <row r="810" spans="6:6">
      <c r="F810">
        <v>0</v>
      </c>
    </row>
    <row r="811" spans="6:6">
      <c r="F811">
        <v>0</v>
      </c>
    </row>
    <row r="812" spans="6:6">
      <c r="F812">
        <v>0</v>
      </c>
    </row>
    <row r="813" spans="6:6">
      <c r="F813">
        <v>0</v>
      </c>
    </row>
    <row r="814" spans="6:6">
      <c r="F814">
        <v>0</v>
      </c>
    </row>
    <row r="815" spans="6:6">
      <c r="F815">
        <v>0</v>
      </c>
    </row>
    <row r="816" spans="6:6">
      <c r="F816">
        <v>0</v>
      </c>
    </row>
    <row r="817" spans="6:6">
      <c r="F817">
        <v>0</v>
      </c>
    </row>
    <row r="818" spans="6:6">
      <c r="F818">
        <v>0</v>
      </c>
    </row>
    <row r="819" spans="6:6">
      <c r="F819">
        <v>0</v>
      </c>
    </row>
    <row r="820" spans="6:6">
      <c r="F820">
        <v>0</v>
      </c>
    </row>
    <row r="821" spans="6:6">
      <c r="F821">
        <v>0</v>
      </c>
    </row>
    <row r="822" spans="6:6">
      <c r="F822">
        <v>0</v>
      </c>
    </row>
    <row r="823" spans="6:6">
      <c r="F823">
        <v>0</v>
      </c>
    </row>
    <row r="824" spans="6:6">
      <c r="F824">
        <v>0</v>
      </c>
    </row>
    <row r="825" spans="6:6">
      <c r="F825">
        <v>0</v>
      </c>
    </row>
    <row r="826" spans="6:6">
      <c r="F826">
        <v>0</v>
      </c>
    </row>
    <row r="827" spans="6:6">
      <c r="F827">
        <v>0</v>
      </c>
    </row>
    <row r="828" spans="6:6">
      <c r="F828">
        <v>0</v>
      </c>
    </row>
    <row r="829" spans="6:6">
      <c r="F829">
        <v>0</v>
      </c>
    </row>
    <row r="830" spans="6:6">
      <c r="F830">
        <v>0</v>
      </c>
    </row>
    <row r="831" spans="6:6">
      <c r="F831">
        <v>0</v>
      </c>
    </row>
    <row r="832" spans="6:6">
      <c r="F832">
        <v>0</v>
      </c>
    </row>
    <row r="833" spans="6:6">
      <c r="F833">
        <v>0</v>
      </c>
    </row>
    <row r="834" spans="6:6">
      <c r="F834">
        <v>0</v>
      </c>
    </row>
    <row r="835" spans="6:6">
      <c r="F835">
        <v>0</v>
      </c>
    </row>
    <row r="836" spans="6:6">
      <c r="F836">
        <v>0</v>
      </c>
    </row>
    <row r="837" spans="6:6">
      <c r="F837">
        <v>0</v>
      </c>
    </row>
    <row r="838" spans="6:6">
      <c r="F838">
        <v>0</v>
      </c>
    </row>
    <row r="839" spans="6:6">
      <c r="F839">
        <v>0</v>
      </c>
    </row>
    <row r="840" spans="6:6">
      <c r="F840">
        <v>0</v>
      </c>
    </row>
    <row r="841" spans="6:6">
      <c r="F841">
        <v>0</v>
      </c>
    </row>
    <row r="842" spans="6:6">
      <c r="F842">
        <v>0</v>
      </c>
    </row>
    <row r="843" spans="6:6">
      <c r="F843">
        <v>0</v>
      </c>
    </row>
    <row r="844" spans="6:6">
      <c r="F844">
        <v>0</v>
      </c>
    </row>
    <row r="845" spans="6:6">
      <c r="F845">
        <v>0</v>
      </c>
    </row>
    <row r="846" spans="6:6">
      <c r="F846">
        <v>0</v>
      </c>
    </row>
    <row r="847" spans="6:6">
      <c r="F847">
        <v>0</v>
      </c>
    </row>
    <row r="848" spans="6:6">
      <c r="F848">
        <v>0</v>
      </c>
    </row>
    <row r="849" spans="6:6">
      <c r="F849">
        <v>0</v>
      </c>
    </row>
    <row r="850" spans="6:6">
      <c r="F850">
        <v>0</v>
      </c>
    </row>
    <row r="851" spans="6:6">
      <c r="F851">
        <v>0</v>
      </c>
    </row>
    <row r="852" spans="6:6">
      <c r="F852">
        <v>0</v>
      </c>
    </row>
    <row r="853" spans="6:6">
      <c r="F853">
        <v>0</v>
      </c>
    </row>
    <row r="854" spans="6:6">
      <c r="F854">
        <v>0</v>
      </c>
    </row>
    <row r="855" spans="6:6">
      <c r="F855">
        <v>0</v>
      </c>
    </row>
    <row r="856" spans="6:6">
      <c r="F856">
        <v>0</v>
      </c>
    </row>
    <row r="857" spans="6:6">
      <c r="F857">
        <v>0</v>
      </c>
    </row>
    <row r="858" spans="6:6">
      <c r="F858">
        <v>0</v>
      </c>
    </row>
    <row r="859" spans="6:6">
      <c r="F859">
        <v>0</v>
      </c>
    </row>
    <row r="860" spans="6:6">
      <c r="F860">
        <v>0</v>
      </c>
    </row>
    <row r="861" spans="6:6">
      <c r="F861">
        <v>0</v>
      </c>
    </row>
    <row r="862" spans="6:6">
      <c r="F862">
        <v>0</v>
      </c>
    </row>
    <row r="863" spans="6:6">
      <c r="F863">
        <v>0</v>
      </c>
    </row>
    <row r="864" spans="6:6">
      <c r="F864">
        <v>0</v>
      </c>
    </row>
    <row r="865" spans="6:6">
      <c r="F865">
        <v>0</v>
      </c>
    </row>
    <row r="866" spans="6:6">
      <c r="F866">
        <v>0</v>
      </c>
    </row>
    <row r="867" spans="6:6">
      <c r="F867">
        <v>0</v>
      </c>
    </row>
    <row r="868" spans="6:6">
      <c r="F868">
        <v>0</v>
      </c>
    </row>
    <row r="869" spans="6:6">
      <c r="F869">
        <v>0</v>
      </c>
    </row>
    <row r="870" spans="6:6">
      <c r="F870">
        <v>0</v>
      </c>
    </row>
    <row r="871" spans="6:6">
      <c r="F871">
        <v>0</v>
      </c>
    </row>
    <row r="872" spans="6:6">
      <c r="F872">
        <v>0</v>
      </c>
    </row>
    <row r="873" spans="6:6">
      <c r="F873">
        <v>0</v>
      </c>
    </row>
    <row r="874" spans="6:6">
      <c r="F874">
        <v>0</v>
      </c>
    </row>
    <row r="875" spans="6:6">
      <c r="F875">
        <v>0</v>
      </c>
    </row>
    <row r="876" spans="6:6">
      <c r="F876">
        <v>0</v>
      </c>
    </row>
    <row r="877" spans="6:6">
      <c r="F877">
        <v>0</v>
      </c>
    </row>
    <row r="878" spans="6:6">
      <c r="F878">
        <v>0</v>
      </c>
    </row>
    <row r="879" spans="6:6">
      <c r="F879">
        <v>0</v>
      </c>
    </row>
    <row r="880" spans="6:6">
      <c r="F880">
        <v>0</v>
      </c>
    </row>
    <row r="881" spans="6:6">
      <c r="F881">
        <v>0</v>
      </c>
    </row>
    <row r="882" spans="6:6">
      <c r="F882">
        <v>0</v>
      </c>
    </row>
    <row r="883" spans="6:6">
      <c r="F883">
        <v>0</v>
      </c>
    </row>
    <row r="884" spans="6:6">
      <c r="F884">
        <v>0</v>
      </c>
    </row>
    <row r="885" spans="6:6">
      <c r="F885">
        <v>0</v>
      </c>
    </row>
    <row r="886" spans="6:6">
      <c r="F886">
        <v>0</v>
      </c>
    </row>
    <row r="887" spans="6:6">
      <c r="F887">
        <v>0</v>
      </c>
    </row>
    <row r="888" spans="6:6">
      <c r="F888">
        <v>0</v>
      </c>
    </row>
    <row r="889" spans="6:6">
      <c r="F889">
        <v>0</v>
      </c>
    </row>
    <row r="890" spans="6:6">
      <c r="F890">
        <v>0</v>
      </c>
    </row>
    <row r="891" spans="6:6">
      <c r="F891">
        <v>0</v>
      </c>
    </row>
    <row r="892" spans="6:6">
      <c r="F892">
        <v>0</v>
      </c>
    </row>
    <row r="893" spans="6:6">
      <c r="F893">
        <v>0</v>
      </c>
    </row>
    <row r="894" spans="6:6">
      <c r="F894">
        <v>0</v>
      </c>
    </row>
    <row r="895" spans="6:6">
      <c r="F895">
        <v>0</v>
      </c>
    </row>
    <row r="896" spans="6:6">
      <c r="F896">
        <v>0</v>
      </c>
    </row>
    <row r="897" spans="6:7">
      <c r="F897">
        <v>0</v>
      </c>
    </row>
    <row r="898" spans="6:7">
      <c r="F898">
        <v>0</v>
      </c>
    </row>
    <row r="899" spans="6:7">
      <c r="F899" t="str" cm="1">
        <f t="array" ref="F899:F1197">D2:D300</f>
        <v>Identificação de Parceiros</v>
      </c>
      <c r="G899" s="43" t="s">
        <v>57</v>
      </c>
    </row>
    <row r="900" spans="6:7">
      <c r="F900" t="str">
        <v>Apresentação da politicas aos parceiros</v>
      </c>
    </row>
    <row r="901" spans="6:7">
      <c r="F901">
        <v>0</v>
      </c>
    </row>
    <row r="902" spans="6:7">
      <c r="F902">
        <v>0</v>
      </c>
    </row>
    <row r="903" spans="6:7">
      <c r="F903">
        <v>0</v>
      </c>
    </row>
    <row r="904" spans="6:7">
      <c r="F904">
        <v>0</v>
      </c>
    </row>
    <row r="905" spans="6:7">
      <c r="F905">
        <v>0</v>
      </c>
    </row>
    <row r="906" spans="6:7">
      <c r="F906">
        <v>0</v>
      </c>
    </row>
    <row r="907" spans="6:7">
      <c r="F907">
        <v>0</v>
      </c>
    </row>
    <row r="908" spans="6:7">
      <c r="F908">
        <v>0</v>
      </c>
    </row>
    <row r="909" spans="6:7">
      <c r="F909">
        <v>0</v>
      </c>
    </row>
    <row r="910" spans="6:7">
      <c r="F910">
        <v>0</v>
      </c>
    </row>
    <row r="911" spans="6:7">
      <c r="F911">
        <v>0</v>
      </c>
    </row>
    <row r="912" spans="6:7">
      <c r="F912">
        <v>0</v>
      </c>
    </row>
    <row r="913" spans="6:6">
      <c r="F913">
        <v>0</v>
      </c>
    </row>
    <row r="914" spans="6:6">
      <c r="F914">
        <v>0</v>
      </c>
    </row>
    <row r="915" spans="6:6">
      <c r="F915">
        <v>0</v>
      </c>
    </row>
    <row r="916" spans="6:6">
      <c r="F916">
        <v>0</v>
      </c>
    </row>
    <row r="917" spans="6:6">
      <c r="F917">
        <v>0</v>
      </c>
    </row>
    <row r="918" spans="6:6">
      <c r="F918">
        <v>0</v>
      </c>
    </row>
    <row r="919" spans="6:6">
      <c r="F919">
        <v>0</v>
      </c>
    </row>
    <row r="920" spans="6:6">
      <c r="F920">
        <v>0</v>
      </c>
    </row>
    <row r="921" spans="6:6">
      <c r="F921">
        <v>0</v>
      </c>
    </row>
    <row r="922" spans="6:6">
      <c r="F922">
        <v>0</v>
      </c>
    </row>
    <row r="923" spans="6:6">
      <c r="F923">
        <v>0</v>
      </c>
    </row>
    <row r="924" spans="6:6">
      <c r="F924">
        <v>0</v>
      </c>
    </row>
    <row r="925" spans="6:6">
      <c r="F925">
        <v>0</v>
      </c>
    </row>
    <row r="926" spans="6:6">
      <c r="F926">
        <v>0</v>
      </c>
    </row>
    <row r="927" spans="6:6">
      <c r="F927">
        <v>0</v>
      </c>
    </row>
    <row r="928" spans="6:6">
      <c r="F928">
        <v>0</v>
      </c>
    </row>
    <row r="929" spans="6:6">
      <c r="F929">
        <v>0</v>
      </c>
    </row>
    <row r="930" spans="6:6">
      <c r="F930">
        <v>0</v>
      </c>
    </row>
    <row r="931" spans="6:6">
      <c r="F931">
        <v>0</v>
      </c>
    </row>
    <row r="932" spans="6:6">
      <c r="F932">
        <v>0</v>
      </c>
    </row>
    <row r="933" spans="6:6">
      <c r="F933">
        <v>0</v>
      </c>
    </row>
    <row r="934" spans="6:6">
      <c r="F934">
        <v>0</v>
      </c>
    </row>
    <row r="935" spans="6:6">
      <c r="F935">
        <v>0</v>
      </c>
    </row>
    <row r="936" spans="6:6">
      <c r="F936">
        <v>0</v>
      </c>
    </row>
    <row r="937" spans="6:6">
      <c r="F937">
        <v>0</v>
      </c>
    </row>
    <row r="938" spans="6:6">
      <c r="F938">
        <v>0</v>
      </c>
    </row>
    <row r="939" spans="6:6">
      <c r="F939">
        <v>0</v>
      </c>
    </row>
    <row r="940" spans="6:6">
      <c r="F940">
        <v>0</v>
      </c>
    </row>
    <row r="941" spans="6:6">
      <c r="F941">
        <v>0</v>
      </c>
    </row>
    <row r="942" spans="6:6">
      <c r="F942">
        <v>0</v>
      </c>
    </row>
    <row r="943" spans="6:6">
      <c r="F943">
        <v>0</v>
      </c>
    </row>
    <row r="944" spans="6:6">
      <c r="F944">
        <v>0</v>
      </c>
    </row>
    <row r="945" spans="6:6">
      <c r="F945">
        <v>0</v>
      </c>
    </row>
    <row r="946" spans="6:6">
      <c r="F946">
        <v>0</v>
      </c>
    </row>
    <row r="947" spans="6:6">
      <c r="F947">
        <v>0</v>
      </c>
    </row>
    <row r="948" spans="6:6">
      <c r="F948">
        <v>0</v>
      </c>
    </row>
    <row r="949" spans="6:6">
      <c r="F949">
        <v>0</v>
      </c>
    </row>
    <row r="950" spans="6:6">
      <c r="F950">
        <v>0</v>
      </c>
    </row>
    <row r="951" spans="6:6">
      <c r="F951">
        <v>0</v>
      </c>
    </row>
    <row r="952" spans="6:6">
      <c r="F952">
        <v>0</v>
      </c>
    </row>
    <row r="953" spans="6:6">
      <c r="F953">
        <v>0</v>
      </c>
    </row>
    <row r="954" spans="6:6">
      <c r="F954">
        <v>0</v>
      </c>
    </row>
    <row r="955" spans="6:6">
      <c r="F955">
        <v>0</v>
      </c>
    </row>
    <row r="956" spans="6:6">
      <c r="F956">
        <v>0</v>
      </c>
    </row>
    <row r="957" spans="6:6">
      <c r="F957">
        <v>0</v>
      </c>
    </row>
    <row r="958" spans="6:6">
      <c r="F958">
        <v>0</v>
      </c>
    </row>
    <row r="959" spans="6:6">
      <c r="F959">
        <v>0</v>
      </c>
    </row>
    <row r="960" spans="6:6">
      <c r="F960">
        <v>0</v>
      </c>
    </row>
    <row r="961" spans="6:6">
      <c r="F961">
        <v>0</v>
      </c>
    </row>
    <row r="962" spans="6:6">
      <c r="F962">
        <v>0</v>
      </c>
    </row>
    <row r="963" spans="6:6">
      <c r="F963">
        <v>0</v>
      </c>
    </row>
    <row r="964" spans="6:6">
      <c r="F964">
        <v>0</v>
      </c>
    </row>
    <row r="965" spans="6:6">
      <c r="F965">
        <v>0</v>
      </c>
    </row>
    <row r="966" spans="6:6">
      <c r="F966">
        <v>0</v>
      </c>
    </row>
    <row r="967" spans="6:6">
      <c r="F967">
        <v>0</v>
      </c>
    </row>
    <row r="968" spans="6:6">
      <c r="F968">
        <v>0</v>
      </c>
    </row>
    <row r="969" spans="6:6">
      <c r="F969">
        <v>0</v>
      </c>
    </row>
    <row r="970" spans="6:6">
      <c r="F970">
        <v>0</v>
      </c>
    </row>
    <row r="971" spans="6:6">
      <c r="F971">
        <v>0</v>
      </c>
    </row>
    <row r="972" spans="6:6">
      <c r="F972">
        <v>0</v>
      </c>
    </row>
    <row r="973" spans="6:6">
      <c r="F973">
        <v>0</v>
      </c>
    </row>
    <row r="974" spans="6:6">
      <c r="F974">
        <v>0</v>
      </c>
    </row>
    <row r="975" spans="6:6">
      <c r="F975">
        <v>0</v>
      </c>
    </row>
    <row r="976" spans="6:6">
      <c r="F976">
        <v>0</v>
      </c>
    </row>
    <row r="977" spans="6:6">
      <c r="F977">
        <v>0</v>
      </c>
    </row>
    <row r="978" spans="6:6">
      <c r="F978">
        <v>0</v>
      </c>
    </row>
    <row r="979" spans="6:6">
      <c r="F979">
        <v>0</v>
      </c>
    </row>
    <row r="980" spans="6:6">
      <c r="F980">
        <v>0</v>
      </c>
    </row>
    <row r="981" spans="6:6">
      <c r="F981">
        <v>0</v>
      </c>
    </row>
    <row r="982" spans="6:6">
      <c r="F982">
        <v>0</v>
      </c>
    </row>
    <row r="983" spans="6:6">
      <c r="F983">
        <v>0</v>
      </c>
    </row>
    <row r="984" spans="6:6">
      <c r="F984">
        <v>0</v>
      </c>
    </row>
    <row r="985" spans="6:6">
      <c r="F985">
        <v>0</v>
      </c>
    </row>
    <row r="986" spans="6:6">
      <c r="F986">
        <v>0</v>
      </c>
    </row>
    <row r="987" spans="6:6">
      <c r="F987">
        <v>0</v>
      </c>
    </row>
    <row r="988" spans="6:6">
      <c r="F988">
        <v>0</v>
      </c>
    </row>
    <row r="989" spans="6:6">
      <c r="F989">
        <v>0</v>
      </c>
    </row>
    <row r="990" spans="6:6">
      <c r="F990">
        <v>0</v>
      </c>
    </row>
    <row r="991" spans="6:6">
      <c r="F991">
        <v>0</v>
      </c>
    </row>
    <row r="992" spans="6:6">
      <c r="F992">
        <v>0</v>
      </c>
    </row>
    <row r="993" spans="6:6">
      <c r="F993">
        <v>0</v>
      </c>
    </row>
    <row r="994" spans="6:6">
      <c r="F994">
        <v>0</v>
      </c>
    </row>
    <row r="995" spans="6:6">
      <c r="F995">
        <v>0</v>
      </c>
    </row>
    <row r="996" spans="6:6">
      <c r="F996">
        <v>0</v>
      </c>
    </row>
    <row r="997" spans="6:6">
      <c r="F997">
        <v>0</v>
      </c>
    </row>
    <row r="998" spans="6:6">
      <c r="F998">
        <v>0</v>
      </c>
    </row>
    <row r="999" spans="6:6">
      <c r="F999">
        <v>0</v>
      </c>
    </row>
    <row r="1000" spans="6:6">
      <c r="F1000">
        <v>0</v>
      </c>
    </row>
    <row r="1001" spans="6:6">
      <c r="F1001">
        <v>0</v>
      </c>
    </row>
    <row r="1002" spans="6:6">
      <c r="F1002">
        <v>0</v>
      </c>
    </row>
    <row r="1003" spans="6:6">
      <c r="F1003">
        <v>0</v>
      </c>
    </row>
    <row r="1004" spans="6:6">
      <c r="F1004">
        <v>0</v>
      </c>
    </row>
    <row r="1005" spans="6:6">
      <c r="F1005">
        <v>0</v>
      </c>
    </row>
    <row r="1006" spans="6:6">
      <c r="F1006">
        <v>0</v>
      </c>
    </row>
    <row r="1007" spans="6:6">
      <c r="F1007">
        <v>0</v>
      </c>
    </row>
    <row r="1008" spans="6:6">
      <c r="F1008">
        <v>0</v>
      </c>
    </row>
    <row r="1009" spans="6:6">
      <c r="F1009">
        <v>0</v>
      </c>
    </row>
    <row r="1010" spans="6:6">
      <c r="F1010">
        <v>0</v>
      </c>
    </row>
    <row r="1011" spans="6:6">
      <c r="F1011">
        <v>0</v>
      </c>
    </row>
    <row r="1012" spans="6:6">
      <c r="F1012">
        <v>0</v>
      </c>
    </row>
    <row r="1013" spans="6:6">
      <c r="F1013">
        <v>0</v>
      </c>
    </row>
    <row r="1014" spans="6:6">
      <c r="F1014">
        <v>0</v>
      </c>
    </row>
    <row r="1015" spans="6:6">
      <c r="F1015">
        <v>0</v>
      </c>
    </row>
    <row r="1016" spans="6:6">
      <c r="F1016">
        <v>0</v>
      </c>
    </row>
    <row r="1017" spans="6:6">
      <c r="F1017">
        <v>0</v>
      </c>
    </row>
    <row r="1018" spans="6:6">
      <c r="F1018">
        <v>0</v>
      </c>
    </row>
    <row r="1019" spans="6:6">
      <c r="F1019">
        <v>0</v>
      </c>
    </row>
    <row r="1020" spans="6:6">
      <c r="F1020">
        <v>0</v>
      </c>
    </row>
    <row r="1021" spans="6:6">
      <c r="F1021">
        <v>0</v>
      </c>
    </row>
    <row r="1022" spans="6:6">
      <c r="F1022">
        <v>0</v>
      </c>
    </row>
    <row r="1023" spans="6:6">
      <c r="F1023">
        <v>0</v>
      </c>
    </row>
    <row r="1024" spans="6:6">
      <c r="F1024">
        <v>0</v>
      </c>
    </row>
    <row r="1025" spans="6:6">
      <c r="F1025">
        <v>0</v>
      </c>
    </row>
    <row r="1026" spans="6:6">
      <c r="F1026">
        <v>0</v>
      </c>
    </row>
    <row r="1027" spans="6:6">
      <c r="F1027">
        <v>0</v>
      </c>
    </row>
    <row r="1028" spans="6:6">
      <c r="F1028">
        <v>0</v>
      </c>
    </row>
    <row r="1029" spans="6:6">
      <c r="F1029">
        <v>0</v>
      </c>
    </row>
    <row r="1030" spans="6:6">
      <c r="F1030">
        <v>0</v>
      </c>
    </row>
    <row r="1031" spans="6:6">
      <c r="F1031">
        <v>0</v>
      </c>
    </row>
    <row r="1032" spans="6:6">
      <c r="F1032">
        <v>0</v>
      </c>
    </row>
    <row r="1033" spans="6:6">
      <c r="F1033">
        <v>0</v>
      </c>
    </row>
    <row r="1034" spans="6:6">
      <c r="F1034">
        <v>0</v>
      </c>
    </row>
    <row r="1035" spans="6:6">
      <c r="F1035">
        <v>0</v>
      </c>
    </row>
    <row r="1036" spans="6:6">
      <c r="F1036">
        <v>0</v>
      </c>
    </row>
    <row r="1037" spans="6:6">
      <c r="F1037">
        <v>0</v>
      </c>
    </row>
    <row r="1038" spans="6:6">
      <c r="F1038">
        <v>0</v>
      </c>
    </row>
    <row r="1039" spans="6:6">
      <c r="F1039">
        <v>0</v>
      </c>
    </row>
    <row r="1040" spans="6:6">
      <c r="F1040">
        <v>0</v>
      </c>
    </row>
    <row r="1041" spans="6:6">
      <c r="F1041">
        <v>0</v>
      </c>
    </row>
    <row r="1042" spans="6:6">
      <c r="F1042">
        <v>0</v>
      </c>
    </row>
    <row r="1043" spans="6:6">
      <c r="F1043">
        <v>0</v>
      </c>
    </row>
    <row r="1044" spans="6:6">
      <c r="F1044">
        <v>0</v>
      </c>
    </row>
    <row r="1045" spans="6:6">
      <c r="F1045">
        <v>0</v>
      </c>
    </row>
    <row r="1046" spans="6:6">
      <c r="F1046">
        <v>0</v>
      </c>
    </row>
    <row r="1047" spans="6:6">
      <c r="F1047">
        <v>0</v>
      </c>
    </row>
    <row r="1048" spans="6:6">
      <c r="F1048">
        <v>0</v>
      </c>
    </row>
    <row r="1049" spans="6:6">
      <c r="F1049">
        <v>0</v>
      </c>
    </row>
    <row r="1050" spans="6:6">
      <c r="F1050">
        <v>0</v>
      </c>
    </row>
    <row r="1051" spans="6:6">
      <c r="F1051">
        <v>0</v>
      </c>
    </row>
    <row r="1052" spans="6:6">
      <c r="F1052">
        <v>0</v>
      </c>
    </row>
    <row r="1053" spans="6:6">
      <c r="F1053">
        <v>0</v>
      </c>
    </row>
    <row r="1054" spans="6:6">
      <c r="F1054">
        <v>0</v>
      </c>
    </row>
    <row r="1055" spans="6:6">
      <c r="F1055">
        <v>0</v>
      </c>
    </row>
    <row r="1056" spans="6:6">
      <c r="F1056">
        <v>0</v>
      </c>
    </row>
    <row r="1057" spans="6:6">
      <c r="F1057">
        <v>0</v>
      </c>
    </row>
    <row r="1058" spans="6:6">
      <c r="F1058">
        <v>0</v>
      </c>
    </row>
    <row r="1059" spans="6:6">
      <c r="F1059">
        <v>0</v>
      </c>
    </row>
    <row r="1060" spans="6:6">
      <c r="F1060">
        <v>0</v>
      </c>
    </row>
    <row r="1061" spans="6:6">
      <c r="F1061">
        <v>0</v>
      </c>
    </row>
    <row r="1062" spans="6:6">
      <c r="F1062">
        <v>0</v>
      </c>
    </row>
    <row r="1063" spans="6:6">
      <c r="F1063">
        <v>0</v>
      </c>
    </row>
    <row r="1064" spans="6:6">
      <c r="F1064">
        <v>0</v>
      </c>
    </row>
    <row r="1065" spans="6:6">
      <c r="F1065">
        <v>0</v>
      </c>
    </row>
    <row r="1066" spans="6:6">
      <c r="F1066">
        <v>0</v>
      </c>
    </row>
    <row r="1067" spans="6:6">
      <c r="F1067">
        <v>0</v>
      </c>
    </row>
    <row r="1068" spans="6:6">
      <c r="F1068">
        <v>0</v>
      </c>
    </row>
    <row r="1069" spans="6:6">
      <c r="F1069">
        <v>0</v>
      </c>
    </row>
    <row r="1070" spans="6:6">
      <c r="F1070">
        <v>0</v>
      </c>
    </row>
    <row r="1071" spans="6:6">
      <c r="F1071">
        <v>0</v>
      </c>
    </row>
    <row r="1072" spans="6:6">
      <c r="F1072">
        <v>0</v>
      </c>
    </row>
    <row r="1073" spans="6:6">
      <c r="F1073">
        <v>0</v>
      </c>
    </row>
    <row r="1074" spans="6:6">
      <c r="F1074">
        <v>0</v>
      </c>
    </row>
    <row r="1075" spans="6:6">
      <c r="F1075">
        <v>0</v>
      </c>
    </row>
    <row r="1076" spans="6:6">
      <c r="F1076">
        <v>0</v>
      </c>
    </row>
    <row r="1077" spans="6:6">
      <c r="F1077">
        <v>0</v>
      </c>
    </row>
    <row r="1078" spans="6:6">
      <c r="F1078">
        <v>0</v>
      </c>
    </row>
    <row r="1079" spans="6:6">
      <c r="F1079">
        <v>0</v>
      </c>
    </row>
    <row r="1080" spans="6:6">
      <c r="F1080">
        <v>0</v>
      </c>
    </row>
    <row r="1081" spans="6:6">
      <c r="F1081">
        <v>0</v>
      </c>
    </row>
    <row r="1082" spans="6:6">
      <c r="F1082">
        <v>0</v>
      </c>
    </row>
    <row r="1083" spans="6:6">
      <c r="F1083">
        <v>0</v>
      </c>
    </row>
    <row r="1084" spans="6:6">
      <c r="F1084">
        <v>0</v>
      </c>
    </row>
    <row r="1085" spans="6:6">
      <c r="F1085">
        <v>0</v>
      </c>
    </row>
    <row r="1086" spans="6:6">
      <c r="F1086">
        <v>0</v>
      </c>
    </row>
    <row r="1087" spans="6:6">
      <c r="F1087">
        <v>0</v>
      </c>
    </row>
    <row r="1088" spans="6:6">
      <c r="F1088">
        <v>0</v>
      </c>
    </row>
    <row r="1089" spans="6:6">
      <c r="F1089">
        <v>0</v>
      </c>
    </row>
    <row r="1090" spans="6:6">
      <c r="F1090">
        <v>0</v>
      </c>
    </row>
    <row r="1091" spans="6:6">
      <c r="F1091">
        <v>0</v>
      </c>
    </row>
    <row r="1092" spans="6:6">
      <c r="F1092">
        <v>0</v>
      </c>
    </row>
    <row r="1093" spans="6:6">
      <c r="F1093">
        <v>0</v>
      </c>
    </row>
    <row r="1094" spans="6:6">
      <c r="F1094">
        <v>0</v>
      </c>
    </row>
    <row r="1095" spans="6:6">
      <c r="F1095">
        <v>0</v>
      </c>
    </row>
    <row r="1096" spans="6:6">
      <c r="F1096">
        <v>0</v>
      </c>
    </row>
    <row r="1097" spans="6:6">
      <c r="F1097">
        <v>0</v>
      </c>
    </row>
    <row r="1098" spans="6:6">
      <c r="F1098">
        <v>0</v>
      </c>
    </row>
    <row r="1099" spans="6:6">
      <c r="F1099">
        <v>0</v>
      </c>
    </row>
    <row r="1100" spans="6:6">
      <c r="F1100">
        <v>0</v>
      </c>
    </row>
    <row r="1101" spans="6:6">
      <c r="F1101">
        <v>0</v>
      </c>
    </row>
    <row r="1102" spans="6:6">
      <c r="F1102">
        <v>0</v>
      </c>
    </row>
    <row r="1103" spans="6:6">
      <c r="F1103">
        <v>0</v>
      </c>
    </row>
    <row r="1104" spans="6:6">
      <c r="F1104">
        <v>0</v>
      </c>
    </row>
    <row r="1105" spans="6:6">
      <c r="F1105">
        <v>0</v>
      </c>
    </row>
    <row r="1106" spans="6:6">
      <c r="F1106">
        <v>0</v>
      </c>
    </row>
    <row r="1107" spans="6:6">
      <c r="F1107">
        <v>0</v>
      </c>
    </row>
    <row r="1108" spans="6:6">
      <c r="F1108">
        <v>0</v>
      </c>
    </row>
    <row r="1109" spans="6:6">
      <c r="F1109">
        <v>0</v>
      </c>
    </row>
    <row r="1110" spans="6:6">
      <c r="F1110">
        <v>0</v>
      </c>
    </row>
    <row r="1111" spans="6:6">
      <c r="F1111">
        <v>0</v>
      </c>
    </row>
    <row r="1112" spans="6:6">
      <c r="F1112">
        <v>0</v>
      </c>
    </row>
    <row r="1113" spans="6:6">
      <c r="F1113">
        <v>0</v>
      </c>
    </row>
    <row r="1114" spans="6:6">
      <c r="F1114">
        <v>0</v>
      </c>
    </row>
    <row r="1115" spans="6:6">
      <c r="F1115">
        <v>0</v>
      </c>
    </row>
    <row r="1116" spans="6:6">
      <c r="F1116">
        <v>0</v>
      </c>
    </row>
    <row r="1117" spans="6:6">
      <c r="F1117">
        <v>0</v>
      </c>
    </row>
    <row r="1118" spans="6:6">
      <c r="F1118">
        <v>0</v>
      </c>
    </row>
    <row r="1119" spans="6:6">
      <c r="F1119">
        <v>0</v>
      </c>
    </row>
    <row r="1120" spans="6:6">
      <c r="F1120">
        <v>0</v>
      </c>
    </row>
    <row r="1121" spans="6:6">
      <c r="F1121">
        <v>0</v>
      </c>
    </row>
    <row r="1122" spans="6:6">
      <c r="F1122">
        <v>0</v>
      </c>
    </row>
    <row r="1123" spans="6:6">
      <c r="F1123">
        <v>0</v>
      </c>
    </row>
    <row r="1124" spans="6:6">
      <c r="F1124">
        <v>0</v>
      </c>
    </row>
    <row r="1125" spans="6:6">
      <c r="F1125">
        <v>0</v>
      </c>
    </row>
    <row r="1126" spans="6:6">
      <c r="F1126">
        <v>0</v>
      </c>
    </row>
    <row r="1127" spans="6:6">
      <c r="F1127">
        <v>0</v>
      </c>
    </row>
    <row r="1128" spans="6:6">
      <c r="F1128">
        <v>0</v>
      </c>
    </row>
    <row r="1129" spans="6:6">
      <c r="F1129">
        <v>0</v>
      </c>
    </row>
    <row r="1130" spans="6:6">
      <c r="F1130">
        <v>0</v>
      </c>
    </row>
    <row r="1131" spans="6:6">
      <c r="F1131">
        <v>0</v>
      </c>
    </row>
    <row r="1132" spans="6:6">
      <c r="F1132">
        <v>0</v>
      </c>
    </row>
    <row r="1133" spans="6:6">
      <c r="F1133">
        <v>0</v>
      </c>
    </row>
    <row r="1134" spans="6:6">
      <c r="F1134">
        <v>0</v>
      </c>
    </row>
    <row r="1135" spans="6:6">
      <c r="F1135">
        <v>0</v>
      </c>
    </row>
    <row r="1136" spans="6:6">
      <c r="F1136">
        <v>0</v>
      </c>
    </row>
    <row r="1137" spans="6:6">
      <c r="F1137">
        <v>0</v>
      </c>
    </row>
    <row r="1138" spans="6:6">
      <c r="F1138">
        <v>0</v>
      </c>
    </row>
    <row r="1139" spans="6:6">
      <c r="F1139">
        <v>0</v>
      </c>
    </row>
    <row r="1140" spans="6:6">
      <c r="F1140">
        <v>0</v>
      </c>
    </row>
    <row r="1141" spans="6:6">
      <c r="F1141">
        <v>0</v>
      </c>
    </row>
    <row r="1142" spans="6:6">
      <c r="F1142">
        <v>0</v>
      </c>
    </row>
    <row r="1143" spans="6:6">
      <c r="F1143">
        <v>0</v>
      </c>
    </row>
    <row r="1144" spans="6:6">
      <c r="F1144">
        <v>0</v>
      </c>
    </row>
    <row r="1145" spans="6:6">
      <c r="F1145">
        <v>0</v>
      </c>
    </row>
    <row r="1146" spans="6:6">
      <c r="F1146">
        <v>0</v>
      </c>
    </row>
    <row r="1147" spans="6:6">
      <c r="F1147">
        <v>0</v>
      </c>
    </row>
    <row r="1148" spans="6:6">
      <c r="F1148">
        <v>0</v>
      </c>
    </row>
    <row r="1149" spans="6:6">
      <c r="F1149">
        <v>0</v>
      </c>
    </row>
    <row r="1150" spans="6:6">
      <c r="F1150">
        <v>0</v>
      </c>
    </row>
    <row r="1151" spans="6:6">
      <c r="F1151">
        <v>0</v>
      </c>
    </row>
    <row r="1152" spans="6:6">
      <c r="F1152">
        <v>0</v>
      </c>
    </row>
    <row r="1153" spans="6:6">
      <c r="F1153">
        <v>0</v>
      </c>
    </row>
    <row r="1154" spans="6:6">
      <c r="F1154">
        <v>0</v>
      </c>
    </row>
    <row r="1155" spans="6:6">
      <c r="F1155">
        <v>0</v>
      </c>
    </row>
    <row r="1156" spans="6:6">
      <c r="F1156">
        <v>0</v>
      </c>
    </row>
    <row r="1157" spans="6:6">
      <c r="F1157">
        <v>0</v>
      </c>
    </row>
    <row r="1158" spans="6:6">
      <c r="F1158">
        <v>0</v>
      </c>
    </row>
    <row r="1159" spans="6:6">
      <c r="F1159">
        <v>0</v>
      </c>
    </row>
    <row r="1160" spans="6:6">
      <c r="F1160">
        <v>0</v>
      </c>
    </row>
    <row r="1161" spans="6:6">
      <c r="F1161">
        <v>0</v>
      </c>
    </row>
    <row r="1162" spans="6:6">
      <c r="F1162">
        <v>0</v>
      </c>
    </row>
    <row r="1163" spans="6:6">
      <c r="F1163">
        <v>0</v>
      </c>
    </row>
    <row r="1164" spans="6:6">
      <c r="F1164">
        <v>0</v>
      </c>
    </row>
    <row r="1165" spans="6:6">
      <c r="F1165">
        <v>0</v>
      </c>
    </row>
    <row r="1166" spans="6:6">
      <c r="F1166">
        <v>0</v>
      </c>
    </row>
    <row r="1167" spans="6:6">
      <c r="F1167">
        <v>0</v>
      </c>
    </row>
    <row r="1168" spans="6:6">
      <c r="F1168">
        <v>0</v>
      </c>
    </row>
    <row r="1169" spans="6:6">
      <c r="F1169">
        <v>0</v>
      </c>
    </row>
    <row r="1170" spans="6:6">
      <c r="F1170">
        <v>0</v>
      </c>
    </row>
    <row r="1171" spans="6:6">
      <c r="F1171">
        <v>0</v>
      </c>
    </row>
    <row r="1172" spans="6:6">
      <c r="F1172">
        <v>0</v>
      </c>
    </row>
    <row r="1173" spans="6:6">
      <c r="F1173">
        <v>0</v>
      </c>
    </row>
    <row r="1174" spans="6:6">
      <c r="F1174">
        <v>0</v>
      </c>
    </row>
    <row r="1175" spans="6:6">
      <c r="F1175">
        <v>0</v>
      </c>
    </row>
    <row r="1176" spans="6:6">
      <c r="F1176">
        <v>0</v>
      </c>
    </row>
    <row r="1177" spans="6:6">
      <c r="F1177">
        <v>0</v>
      </c>
    </row>
    <row r="1178" spans="6:6">
      <c r="F1178">
        <v>0</v>
      </c>
    </row>
    <row r="1179" spans="6:6">
      <c r="F1179">
        <v>0</v>
      </c>
    </row>
    <row r="1180" spans="6:6">
      <c r="F1180">
        <v>0</v>
      </c>
    </row>
    <row r="1181" spans="6:6">
      <c r="F1181">
        <v>0</v>
      </c>
    </row>
    <row r="1182" spans="6:6">
      <c r="F1182">
        <v>0</v>
      </c>
    </row>
    <row r="1183" spans="6:6">
      <c r="F1183">
        <v>0</v>
      </c>
    </row>
    <row r="1184" spans="6:6">
      <c r="F1184">
        <v>0</v>
      </c>
    </row>
    <row r="1185" spans="6:7">
      <c r="F1185">
        <v>0</v>
      </c>
    </row>
    <row r="1186" spans="6:7">
      <c r="F1186">
        <v>0</v>
      </c>
    </row>
    <row r="1187" spans="6:7">
      <c r="F1187">
        <v>0</v>
      </c>
    </row>
    <row r="1188" spans="6:7">
      <c r="F1188">
        <v>0</v>
      </c>
    </row>
    <row r="1189" spans="6:7">
      <c r="F1189">
        <v>0</v>
      </c>
    </row>
    <row r="1190" spans="6:7">
      <c r="F1190">
        <v>0</v>
      </c>
    </row>
    <row r="1191" spans="6:7">
      <c r="F1191">
        <v>0</v>
      </c>
    </row>
    <row r="1192" spans="6:7">
      <c r="F1192">
        <v>0</v>
      </c>
    </row>
    <row r="1193" spans="6:7">
      <c r="F1193">
        <v>0</v>
      </c>
    </row>
    <row r="1194" spans="6:7">
      <c r="F1194">
        <v>0</v>
      </c>
    </row>
    <row r="1195" spans="6:7">
      <c r="F1195">
        <v>0</v>
      </c>
    </row>
    <row r="1196" spans="6:7">
      <c r="F1196">
        <v>0</v>
      </c>
    </row>
    <row r="1197" spans="6:7">
      <c r="F1197">
        <v>0</v>
      </c>
    </row>
    <row r="1198" spans="6:7">
      <c r="F1198" t="str" cm="1">
        <f t="array" ref="F1198:F1496">E2:E300</f>
        <v xml:space="preserve">Levantamento </v>
      </c>
      <c r="G1198" s="43" t="s">
        <v>58</v>
      </c>
    </row>
    <row r="1199" spans="6:7">
      <c r="F1199" t="str">
        <v>Elaborar Plano de Formação</v>
      </c>
    </row>
    <row r="1200" spans="6:7">
      <c r="F1200" t="str">
        <v>Execução PA</v>
      </c>
    </row>
    <row r="1201" spans="6:6">
      <c r="F1201">
        <v>0</v>
      </c>
    </row>
    <row r="1202" spans="6:6">
      <c r="F1202">
        <v>0</v>
      </c>
    </row>
    <row r="1203" spans="6:6">
      <c r="F1203">
        <v>0</v>
      </c>
    </row>
    <row r="1204" spans="6:6">
      <c r="F1204">
        <v>0</v>
      </c>
    </row>
    <row r="1205" spans="6:6">
      <c r="F1205">
        <v>0</v>
      </c>
    </row>
    <row r="1206" spans="6:6">
      <c r="F1206">
        <v>0</v>
      </c>
    </row>
    <row r="1207" spans="6:6">
      <c r="F1207">
        <v>0</v>
      </c>
    </row>
    <row r="1208" spans="6:6">
      <c r="F1208">
        <v>0</v>
      </c>
    </row>
    <row r="1209" spans="6:6">
      <c r="F1209">
        <v>0</v>
      </c>
    </row>
    <row r="1210" spans="6:6">
      <c r="F1210">
        <v>0</v>
      </c>
    </row>
    <row r="1211" spans="6:6">
      <c r="F1211">
        <v>0</v>
      </c>
    </row>
    <row r="1212" spans="6:6">
      <c r="F1212">
        <v>0</v>
      </c>
    </row>
    <row r="1213" spans="6:6">
      <c r="F1213">
        <v>0</v>
      </c>
    </row>
    <row r="1214" spans="6:6">
      <c r="F1214">
        <v>0</v>
      </c>
    </row>
    <row r="1215" spans="6:6">
      <c r="F1215">
        <v>0</v>
      </c>
    </row>
    <row r="1216" spans="6:6">
      <c r="F1216">
        <v>0</v>
      </c>
    </row>
    <row r="1217" spans="6:6">
      <c r="F1217">
        <v>0</v>
      </c>
    </row>
    <row r="1218" spans="6:6">
      <c r="F1218">
        <v>0</v>
      </c>
    </row>
    <row r="1219" spans="6:6">
      <c r="F1219">
        <v>0</v>
      </c>
    </row>
    <row r="1220" spans="6:6">
      <c r="F1220">
        <v>0</v>
      </c>
    </row>
    <row r="1221" spans="6:6">
      <c r="F1221">
        <v>0</v>
      </c>
    </row>
    <row r="1222" spans="6:6">
      <c r="F1222">
        <v>0</v>
      </c>
    </row>
    <row r="1223" spans="6:6">
      <c r="F1223">
        <v>0</v>
      </c>
    </row>
    <row r="1224" spans="6:6">
      <c r="F1224">
        <v>0</v>
      </c>
    </row>
    <row r="1225" spans="6:6">
      <c r="F1225">
        <v>0</v>
      </c>
    </row>
    <row r="1226" spans="6:6">
      <c r="F1226">
        <v>0</v>
      </c>
    </row>
    <row r="1227" spans="6:6">
      <c r="F1227">
        <v>0</v>
      </c>
    </row>
    <row r="1228" spans="6:6">
      <c r="F1228">
        <v>0</v>
      </c>
    </row>
    <row r="1229" spans="6:6">
      <c r="F1229">
        <v>0</v>
      </c>
    </row>
    <row r="1230" spans="6:6">
      <c r="F1230">
        <v>0</v>
      </c>
    </row>
    <row r="1231" spans="6:6">
      <c r="F1231">
        <v>0</v>
      </c>
    </row>
    <row r="1232" spans="6:6">
      <c r="F1232">
        <v>0</v>
      </c>
    </row>
    <row r="1233" spans="6:6">
      <c r="F1233">
        <v>0</v>
      </c>
    </row>
    <row r="1234" spans="6:6">
      <c r="F1234">
        <v>0</v>
      </c>
    </row>
    <row r="1235" spans="6:6">
      <c r="F1235">
        <v>0</v>
      </c>
    </row>
    <row r="1236" spans="6:6">
      <c r="F1236">
        <v>0</v>
      </c>
    </row>
    <row r="1237" spans="6:6">
      <c r="F1237">
        <v>0</v>
      </c>
    </row>
    <row r="1238" spans="6:6">
      <c r="F1238">
        <v>0</v>
      </c>
    </row>
    <row r="1239" spans="6:6">
      <c r="F1239">
        <v>0</v>
      </c>
    </row>
    <row r="1240" spans="6:6">
      <c r="F1240">
        <v>0</v>
      </c>
    </row>
    <row r="1241" spans="6:6">
      <c r="F1241">
        <v>0</v>
      </c>
    </row>
    <row r="1242" spans="6:6">
      <c r="F1242">
        <v>0</v>
      </c>
    </row>
    <row r="1243" spans="6:6">
      <c r="F1243">
        <v>0</v>
      </c>
    </row>
    <row r="1244" spans="6:6">
      <c r="F1244">
        <v>0</v>
      </c>
    </row>
    <row r="1245" spans="6:6">
      <c r="F1245">
        <v>0</v>
      </c>
    </row>
    <row r="1246" spans="6:6">
      <c r="F1246">
        <v>0</v>
      </c>
    </row>
    <row r="1247" spans="6:6">
      <c r="F1247">
        <v>0</v>
      </c>
    </row>
    <row r="1248" spans="6:6">
      <c r="F1248">
        <v>0</v>
      </c>
    </row>
    <row r="1249" spans="6:6">
      <c r="F1249">
        <v>0</v>
      </c>
    </row>
    <row r="1250" spans="6:6">
      <c r="F1250">
        <v>0</v>
      </c>
    </row>
    <row r="1251" spans="6:6">
      <c r="F1251">
        <v>0</v>
      </c>
    </row>
    <row r="1252" spans="6:6">
      <c r="F1252">
        <v>0</v>
      </c>
    </row>
    <row r="1253" spans="6:6">
      <c r="F1253">
        <v>0</v>
      </c>
    </row>
    <row r="1254" spans="6:6">
      <c r="F1254">
        <v>0</v>
      </c>
    </row>
    <row r="1255" spans="6:6">
      <c r="F1255">
        <v>0</v>
      </c>
    </row>
    <row r="1256" spans="6:6">
      <c r="F1256">
        <v>0</v>
      </c>
    </row>
    <row r="1257" spans="6:6">
      <c r="F1257">
        <v>0</v>
      </c>
    </row>
    <row r="1258" spans="6:6">
      <c r="F1258">
        <v>0</v>
      </c>
    </row>
    <row r="1259" spans="6:6">
      <c r="F1259">
        <v>0</v>
      </c>
    </row>
    <row r="1260" spans="6:6">
      <c r="F1260">
        <v>0</v>
      </c>
    </row>
    <row r="1261" spans="6:6">
      <c r="F1261">
        <v>0</v>
      </c>
    </row>
    <row r="1262" spans="6:6">
      <c r="F1262">
        <v>0</v>
      </c>
    </row>
    <row r="1263" spans="6:6">
      <c r="F1263">
        <v>0</v>
      </c>
    </row>
    <row r="1264" spans="6:6">
      <c r="F1264">
        <v>0</v>
      </c>
    </row>
    <row r="1265" spans="6:6">
      <c r="F1265">
        <v>0</v>
      </c>
    </row>
    <row r="1266" spans="6:6">
      <c r="F1266">
        <v>0</v>
      </c>
    </row>
    <row r="1267" spans="6:6">
      <c r="F1267">
        <v>0</v>
      </c>
    </row>
    <row r="1268" spans="6:6">
      <c r="F1268">
        <v>0</v>
      </c>
    </row>
    <row r="1269" spans="6:6">
      <c r="F1269">
        <v>0</v>
      </c>
    </row>
    <row r="1270" spans="6:6">
      <c r="F1270">
        <v>0</v>
      </c>
    </row>
    <row r="1271" spans="6:6">
      <c r="F1271">
        <v>0</v>
      </c>
    </row>
    <row r="1272" spans="6:6">
      <c r="F1272">
        <v>0</v>
      </c>
    </row>
    <row r="1273" spans="6:6">
      <c r="F1273">
        <v>0</v>
      </c>
    </row>
    <row r="1274" spans="6:6">
      <c r="F1274">
        <v>0</v>
      </c>
    </row>
    <row r="1275" spans="6:6">
      <c r="F1275">
        <v>0</v>
      </c>
    </row>
    <row r="1276" spans="6:6">
      <c r="F1276">
        <v>0</v>
      </c>
    </row>
    <row r="1277" spans="6:6">
      <c r="F1277">
        <v>0</v>
      </c>
    </row>
    <row r="1278" spans="6:6">
      <c r="F1278">
        <v>0</v>
      </c>
    </row>
    <row r="1279" spans="6:6">
      <c r="F1279">
        <v>0</v>
      </c>
    </row>
    <row r="1280" spans="6:6">
      <c r="F1280">
        <v>0</v>
      </c>
    </row>
    <row r="1281" spans="6:6">
      <c r="F1281">
        <v>0</v>
      </c>
    </row>
    <row r="1282" spans="6:6">
      <c r="F1282">
        <v>0</v>
      </c>
    </row>
    <row r="1283" spans="6:6">
      <c r="F1283">
        <v>0</v>
      </c>
    </row>
    <row r="1284" spans="6:6">
      <c r="F1284">
        <v>0</v>
      </c>
    </row>
    <row r="1285" spans="6:6">
      <c r="F1285">
        <v>0</v>
      </c>
    </row>
    <row r="1286" spans="6:6">
      <c r="F1286">
        <v>0</v>
      </c>
    </row>
    <row r="1287" spans="6:6">
      <c r="F1287">
        <v>0</v>
      </c>
    </row>
    <row r="1288" spans="6:6">
      <c r="F1288">
        <v>0</v>
      </c>
    </row>
    <row r="1289" spans="6:6">
      <c r="F1289">
        <v>0</v>
      </c>
    </row>
    <row r="1290" spans="6:6">
      <c r="F1290">
        <v>0</v>
      </c>
    </row>
    <row r="1291" spans="6:6">
      <c r="F1291">
        <v>0</v>
      </c>
    </row>
    <row r="1292" spans="6:6">
      <c r="F1292">
        <v>0</v>
      </c>
    </row>
    <row r="1293" spans="6:6">
      <c r="F1293">
        <v>0</v>
      </c>
    </row>
    <row r="1294" spans="6:6">
      <c r="F1294">
        <v>0</v>
      </c>
    </row>
    <row r="1295" spans="6:6">
      <c r="F1295">
        <v>0</v>
      </c>
    </row>
    <row r="1296" spans="6:6">
      <c r="F1296">
        <v>0</v>
      </c>
    </row>
    <row r="1297" spans="6:6">
      <c r="F1297">
        <v>0</v>
      </c>
    </row>
    <row r="1298" spans="6:6">
      <c r="F1298">
        <v>0</v>
      </c>
    </row>
    <row r="1299" spans="6:6">
      <c r="F1299">
        <v>0</v>
      </c>
    </row>
    <row r="1300" spans="6:6">
      <c r="F1300">
        <v>0</v>
      </c>
    </row>
    <row r="1301" spans="6:6">
      <c r="F1301">
        <v>0</v>
      </c>
    </row>
    <row r="1302" spans="6:6">
      <c r="F1302">
        <v>0</v>
      </c>
    </row>
    <row r="1303" spans="6:6">
      <c r="F1303">
        <v>0</v>
      </c>
    </row>
    <row r="1304" spans="6:6">
      <c r="F1304">
        <v>0</v>
      </c>
    </row>
    <row r="1305" spans="6:6">
      <c r="F1305">
        <v>0</v>
      </c>
    </row>
    <row r="1306" spans="6:6">
      <c r="F1306">
        <v>0</v>
      </c>
    </row>
    <row r="1307" spans="6:6">
      <c r="F1307">
        <v>0</v>
      </c>
    </row>
    <row r="1308" spans="6:6">
      <c r="F1308">
        <v>0</v>
      </c>
    </row>
    <row r="1309" spans="6:6">
      <c r="F1309">
        <v>0</v>
      </c>
    </row>
    <row r="1310" spans="6:6">
      <c r="F1310">
        <v>0</v>
      </c>
    </row>
    <row r="1311" spans="6:6">
      <c r="F1311">
        <v>0</v>
      </c>
    </row>
    <row r="1312" spans="6:6">
      <c r="F1312">
        <v>0</v>
      </c>
    </row>
    <row r="1313" spans="6:6">
      <c r="F1313">
        <v>0</v>
      </c>
    </row>
    <row r="1314" spans="6:6">
      <c r="F1314">
        <v>0</v>
      </c>
    </row>
    <row r="1315" spans="6:6">
      <c r="F1315">
        <v>0</v>
      </c>
    </row>
    <row r="1316" spans="6:6">
      <c r="F1316">
        <v>0</v>
      </c>
    </row>
    <row r="1317" spans="6:6">
      <c r="F1317">
        <v>0</v>
      </c>
    </row>
    <row r="1318" spans="6:6">
      <c r="F1318">
        <v>0</v>
      </c>
    </row>
    <row r="1319" spans="6:6">
      <c r="F1319">
        <v>0</v>
      </c>
    </row>
    <row r="1320" spans="6:6">
      <c r="F1320">
        <v>0</v>
      </c>
    </row>
    <row r="1321" spans="6:6">
      <c r="F1321">
        <v>0</v>
      </c>
    </row>
    <row r="1322" spans="6:6">
      <c r="F1322">
        <v>0</v>
      </c>
    </row>
    <row r="1323" spans="6:6">
      <c r="F1323">
        <v>0</v>
      </c>
    </row>
    <row r="1324" spans="6:6">
      <c r="F1324">
        <v>0</v>
      </c>
    </row>
    <row r="1325" spans="6:6">
      <c r="F1325">
        <v>0</v>
      </c>
    </row>
    <row r="1326" spans="6:6">
      <c r="F1326">
        <v>0</v>
      </c>
    </row>
    <row r="1327" spans="6:6">
      <c r="F1327">
        <v>0</v>
      </c>
    </row>
    <row r="1328" spans="6:6">
      <c r="F1328">
        <v>0</v>
      </c>
    </row>
    <row r="1329" spans="6:6">
      <c r="F1329">
        <v>0</v>
      </c>
    </row>
    <row r="1330" spans="6:6">
      <c r="F1330">
        <v>0</v>
      </c>
    </row>
    <row r="1331" spans="6:6">
      <c r="F1331">
        <v>0</v>
      </c>
    </row>
    <row r="1332" spans="6:6">
      <c r="F1332">
        <v>0</v>
      </c>
    </row>
    <row r="1333" spans="6:6">
      <c r="F1333">
        <v>0</v>
      </c>
    </row>
    <row r="1334" spans="6:6">
      <c r="F1334">
        <v>0</v>
      </c>
    </row>
    <row r="1335" spans="6:6">
      <c r="F1335">
        <v>0</v>
      </c>
    </row>
    <row r="1336" spans="6:6">
      <c r="F1336">
        <v>0</v>
      </c>
    </row>
    <row r="1337" spans="6:6">
      <c r="F1337">
        <v>0</v>
      </c>
    </row>
    <row r="1338" spans="6:6">
      <c r="F1338">
        <v>0</v>
      </c>
    </row>
    <row r="1339" spans="6:6">
      <c r="F1339">
        <v>0</v>
      </c>
    </row>
    <row r="1340" spans="6:6">
      <c r="F1340">
        <v>0</v>
      </c>
    </row>
    <row r="1341" spans="6:6">
      <c r="F1341">
        <v>0</v>
      </c>
    </row>
    <row r="1342" spans="6:6">
      <c r="F1342">
        <v>0</v>
      </c>
    </row>
    <row r="1343" spans="6:6">
      <c r="F1343">
        <v>0</v>
      </c>
    </row>
    <row r="1344" spans="6:6">
      <c r="F1344">
        <v>0</v>
      </c>
    </row>
    <row r="1345" spans="6:6">
      <c r="F1345">
        <v>0</v>
      </c>
    </row>
    <row r="1346" spans="6:6">
      <c r="F1346">
        <v>0</v>
      </c>
    </row>
    <row r="1347" spans="6:6">
      <c r="F1347">
        <v>0</v>
      </c>
    </row>
    <row r="1348" spans="6:6">
      <c r="F1348">
        <v>0</v>
      </c>
    </row>
    <row r="1349" spans="6:6">
      <c r="F1349">
        <v>0</v>
      </c>
    </row>
    <row r="1350" spans="6:6">
      <c r="F1350">
        <v>0</v>
      </c>
    </row>
    <row r="1351" spans="6:6">
      <c r="F1351">
        <v>0</v>
      </c>
    </row>
    <row r="1352" spans="6:6">
      <c r="F1352">
        <v>0</v>
      </c>
    </row>
    <row r="1353" spans="6:6">
      <c r="F1353">
        <v>0</v>
      </c>
    </row>
    <row r="1354" spans="6:6">
      <c r="F1354">
        <v>0</v>
      </c>
    </row>
    <row r="1355" spans="6:6">
      <c r="F1355">
        <v>0</v>
      </c>
    </row>
    <row r="1356" spans="6:6">
      <c r="F1356">
        <v>0</v>
      </c>
    </row>
    <row r="1357" spans="6:6">
      <c r="F1357">
        <v>0</v>
      </c>
    </row>
    <row r="1358" spans="6:6">
      <c r="F1358">
        <v>0</v>
      </c>
    </row>
    <row r="1359" spans="6:6">
      <c r="F1359">
        <v>0</v>
      </c>
    </row>
    <row r="1360" spans="6:6">
      <c r="F1360">
        <v>0</v>
      </c>
    </row>
    <row r="1361" spans="6:6">
      <c r="F1361">
        <v>0</v>
      </c>
    </row>
    <row r="1362" spans="6:6">
      <c r="F1362">
        <v>0</v>
      </c>
    </row>
    <row r="1363" spans="6:6">
      <c r="F1363">
        <v>0</v>
      </c>
    </row>
    <row r="1364" spans="6:6">
      <c r="F1364">
        <v>0</v>
      </c>
    </row>
    <row r="1365" spans="6:6">
      <c r="F1365">
        <v>0</v>
      </c>
    </row>
    <row r="1366" spans="6:6">
      <c r="F1366">
        <v>0</v>
      </c>
    </row>
    <row r="1367" spans="6:6">
      <c r="F1367">
        <v>0</v>
      </c>
    </row>
    <row r="1368" spans="6:6">
      <c r="F1368">
        <v>0</v>
      </c>
    </row>
    <row r="1369" spans="6:6">
      <c r="F1369">
        <v>0</v>
      </c>
    </row>
    <row r="1370" spans="6:6">
      <c r="F1370">
        <v>0</v>
      </c>
    </row>
    <row r="1371" spans="6:6">
      <c r="F1371">
        <v>0</v>
      </c>
    </row>
    <row r="1372" spans="6:6">
      <c r="F1372">
        <v>0</v>
      </c>
    </row>
    <row r="1373" spans="6:6">
      <c r="F1373">
        <v>0</v>
      </c>
    </row>
    <row r="1374" spans="6:6">
      <c r="F1374">
        <v>0</v>
      </c>
    </row>
    <row r="1375" spans="6:6">
      <c r="F1375">
        <v>0</v>
      </c>
    </row>
    <row r="1376" spans="6:6">
      <c r="F1376">
        <v>0</v>
      </c>
    </row>
    <row r="1377" spans="6:6">
      <c r="F1377">
        <v>0</v>
      </c>
    </row>
    <row r="1378" spans="6:6">
      <c r="F1378">
        <v>0</v>
      </c>
    </row>
    <row r="1379" spans="6:6">
      <c r="F1379">
        <v>0</v>
      </c>
    </row>
    <row r="1380" spans="6:6">
      <c r="F1380">
        <v>0</v>
      </c>
    </row>
    <row r="1381" spans="6:6">
      <c r="F1381">
        <v>0</v>
      </c>
    </row>
    <row r="1382" spans="6:6">
      <c r="F1382">
        <v>0</v>
      </c>
    </row>
    <row r="1383" spans="6:6">
      <c r="F1383">
        <v>0</v>
      </c>
    </row>
    <row r="1384" spans="6:6">
      <c r="F1384">
        <v>0</v>
      </c>
    </row>
    <row r="1385" spans="6:6">
      <c r="F1385">
        <v>0</v>
      </c>
    </row>
    <row r="1386" spans="6:6">
      <c r="F1386">
        <v>0</v>
      </c>
    </row>
    <row r="1387" spans="6:6">
      <c r="F1387">
        <v>0</v>
      </c>
    </row>
    <row r="1388" spans="6:6">
      <c r="F1388">
        <v>0</v>
      </c>
    </row>
    <row r="1389" spans="6:6">
      <c r="F1389">
        <v>0</v>
      </c>
    </row>
    <row r="1390" spans="6:6">
      <c r="F1390">
        <v>0</v>
      </c>
    </row>
    <row r="1391" spans="6:6">
      <c r="F1391">
        <v>0</v>
      </c>
    </row>
    <row r="1392" spans="6:6">
      <c r="F1392">
        <v>0</v>
      </c>
    </row>
    <row r="1393" spans="6:6">
      <c r="F1393">
        <v>0</v>
      </c>
    </row>
    <row r="1394" spans="6:6">
      <c r="F1394">
        <v>0</v>
      </c>
    </row>
    <row r="1395" spans="6:6">
      <c r="F1395">
        <v>0</v>
      </c>
    </row>
    <row r="1396" spans="6:6">
      <c r="F1396">
        <v>0</v>
      </c>
    </row>
    <row r="1397" spans="6:6">
      <c r="F1397">
        <v>0</v>
      </c>
    </row>
    <row r="1398" spans="6:6">
      <c r="F1398">
        <v>0</v>
      </c>
    </row>
    <row r="1399" spans="6:6">
      <c r="F1399">
        <v>0</v>
      </c>
    </row>
    <row r="1400" spans="6:6">
      <c r="F1400">
        <v>0</v>
      </c>
    </row>
    <row r="1401" spans="6:6">
      <c r="F1401">
        <v>0</v>
      </c>
    </row>
    <row r="1402" spans="6:6">
      <c r="F1402">
        <v>0</v>
      </c>
    </row>
    <row r="1403" spans="6:6">
      <c r="F1403">
        <v>0</v>
      </c>
    </row>
    <row r="1404" spans="6:6">
      <c r="F1404">
        <v>0</v>
      </c>
    </row>
    <row r="1405" spans="6:6">
      <c r="F1405">
        <v>0</v>
      </c>
    </row>
    <row r="1406" spans="6:6">
      <c r="F1406">
        <v>0</v>
      </c>
    </row>
    <row r="1407" spans="6:6">
      <c r="F1407">
        <v>0</v>
      </c>
    </row>
    <row r="1408" spans="6:6">
      <c r="F1408">
        <v>0</v>
      </c>
    </row>
    <row r="1409" spans="6:6">
      <c r="F1409">
        <v>0</v>
      </c>
    </row>
    <row r="1410" spans="6:6">
      <c r="F1410">
        <v>0</v>
      </c>
    </row>
    <row r="1411" spans="6:6">
      <c r="F1411">
        <v>0</v>
      </c>
    </row>
    <row r="1412" spans="6:6">
      <c r="F1412">
        <v>0</v>
      </c>
    </row>
    <row r="1413" spans="6:6">
      <c r="F1413">
        <v>0</v>
      </c>
    </row>
    <row r="1414" spans="6:6">
      <c r="F1414">
        <v>0</v>
      </c>
    </row>
    <row r="1415" spans="6:6">
      <c r="F1415">
        <v>0</v>
      </c>
    </row>
    <row r="1416" spans="6:6">
      <c r="F1416">
        <v>0</v>
      </c>
    </row>
    <row r="1417" spans="6:6">
      <c r="F1417">
        <v>0</v>
      </c>
    </row>
    <row r="1418" spans="6:6">
      <c r="F1418">
        <v>0</v>
      </c>
    </row>
    <row r="1419" spans="6:6">
      <c r="F1419">
        <v>0</v>
      </c>
    </row>
    <row r="1420" spans="6:6">
      <c r="F1420">
        <v>0</v>
      </c>
    </row>
    <row r="1421" spans="6:6">
      <c r="F1421">
        <v>0</v>
      </c>
    </row>
    <row r="1422" spans="6:6">
      <c r="F1422">
        <v>0</v>
      </c>
    </row>
    <row r="1423" spans="6:6">
      <c r="F1423">
        <v>0</v>
      </c>
    </row>
    <row r="1424" spans="6:6">
      <c r="F1424">
        <v>0</v>
      </c>
    </row>
    <row r="1425" spans="6:6">
      <c r="F1425">
        <v>0</v>
      </c>
    </row>
    <row r="1426" spans="6:6">
      <c r="F1426">
        <v>0</v>
      </c>
    </row>
    <row r="1427" spans="6:6">
      <c r="F1427">
        <v>0</v>
      </c>
    </row>
    <row r="1428" spans="6:6">
      <c r="F1428">
        <v>0</v>
      </c>
    </row>
    <row r="1429" spans="6:6">
      <c r="F1429">
        <v>0</v>
      </c>
    </row>
    <row r="1430" spans="6:6">
      <c r="F1430">
        <v>0</v>
      </c>
    </row>
    <row r="1431" spans="6:6">
      <c r="F1431">
        <v>0</v>
      </c>
    </row>
    <row r="1432" spans="6:6">
      <c r="F1432">
        <v>0</v>
      </c>
    </row>
    <row r="1433" spans="6:6">
      <c r="F1433">
        <v>0</v>
      </c>
    </row>
    <row r="1434" spans="6:6">
      <c r="F1434">
        <v>0</v>
      </c>
    </row>
    <row r="1435" spans="6:6">
      <c r="F1435">
        <v>0</v>
      </c>
    </row>
    <row r="1436" spans="6:6">
      <c r="F1436">
        <v>0</v>
      </c>
    </row>
    <row r="1437" spans="6:6">
      <c r="F1437">
        <v>0</v>
      </c>
    </row>
    <row r="1438" spans="6:6">
      <c r="F1438">
        <v>0</v>
      </c>
    </row>
    <row r="1439" spans="6:6">
      <c r="F1439">
        <v>0</v>
      </c>
    </row>
    <row r="1440" spans="6:6">
      <c r="F1440">
        <v>0</v>
      </c>
    </row>
    <row r="1441" spans="6:6">
      <c r="F1441">
        <v>0</v>
      </c>
    </row>
    <row r="1442" spans="6:6">
      <c r="F1442">
        <v>0</v>
      </c>
    </row>
    <row r="1443" spans="6:6">
      <c r="F1443">
        <v>0</v>
      </c>
    </row>
    <row r="1444" spans="6:6">
      <c r="F1444">
        <v>0</v>
      </c>
    </row>
    <row r="1445" spans="6:6">
      <c r="F1445">
        <v>0</v>
      </c>
    </row>
    <row r="1446" spans="6:6">
      <c r="F1446">
        <v>0</v>
      </c>
    </row>
    <row r="1447" spans="6:6">
      <c r="F1447">
        <v>0</v>
      </c>
    </row>
    <row r="1448" spans="6:6">
      <c r="F1448">
        <v>0</v>
      </c>
    </row>
    <row r="1449" spans="6:6">
      <c r="F1449">
        <v>0</v>
      </c>
    </row>
    <row r="1450" spans="6:6">
      <c r="F1450">
        <v>0</v>
      </c>
    </row>
    <row r="1451" spans="6:6">
      <c r="F1451">
        <v>0</v>
      </c>
    </row>
    <row r="1452" spans="6:6">
      <c r="F1452">
        <v>0</v>
      </c>
    </row>
    <row r="1453" spans="6:6">
      <c r="F1453">
        <v>0</v>
      </c>
    </row>
    <row r="1454" spans="6:6">
      <c r="F1454">
        <v>0</v>
      </c>
    </row>
    <row r="1455" spans="6:6">
      <c r="F1455">
        <v>0</v>
      </c>
    </row>
    <row r="1456" spans="6:6">
      <c r="F1456">
        <v>0</v>
      </c>
    </row>
    <row r="1457" spans="6:6">
      <c r="F1457">
        <v>0</v>
      </c>
    </row>
    <row r="1458" spans="6:6">
      <c r="F1458">
        <v>0</v>
      </c>
    </row>
    <row r="1459" spans="6:6">
      <c r="F1459">
        <v>0</v>
      </c>
    </row>
    <row r="1460" spans="6:6">
      <c r="F1460">
        <v>0</v>
      </c>
    </row>
    <row r="1461" spans="6:6">
      <c r="F1461">
        <v>0</v>
      </c>
    </row>
    <row r="1462" spans="6:6">
      <c r="F1462">
        <v>0</v>
      </c>
    </row>
    <row r="1463" spans="6:6">
      <c r="F1463">
        <v>0</v>
      </c>
    </row>
    <row r="1464" spans="6:6">
      <c r="F1464">
        <v>0</v>
      </c>
    </row>
    <row r="1465" spans="6:6">
      <c r="F1465">
        <v>0</v>
      </c>
    </row>
    <row r="1466" spans="6:6">
      <c r="F1466">
        <v>0</v>
      </c>
    </row>
    <row r="1467" spans="6:6">
      <c r="F1467">
        <v>0</v>
      </c>
    </row>
    <row r="1468" spans="6:6">
      <c r="F1468">
        <v>0</v>
      </c>
    </row>
    <row r="1469" spans="6:6">
      <c r="F1469">
        <v>0</v>
      </c>
    </row>
    <row r="1470" spans="6:6">
      <c r="F1470">
        <v>0</v>
      </c>
    </row>
    <row r="1471" spans="6:6">
      <c r="F1471">
        <v>0</v>
      </c>
    </row>
    <row r="1472" spans="6:6">
      <c r="F1472">
        <v>0</v>
      </c>
    </row>
    <row r="1473" spans="6:6">
      <c r="F1473">
        <v>0</v>
      </c>
    </row>
    <row r="1474" spans="6:6">
      <c r="F1474">
        <v>0</v>
      </c>
    </row>
    <row r="1475" spans="6:6">
      <c r="F1475">
        <v>0</v>
      </c>
    </row>
    <row r="1476" spans="6:6">
      <c r="F1476">
        <v>0</v>
      </c>
    </row>
    <row r="1477" spans="6:6">
      <c r="F1477">
        <v>0</v>
      </c>
    </row>
    <row r="1478" spans="6:6">
      <c r="F1478">
        <v>0</v>
      </c>
    </row>
    <row r="1479" spans="6:6">
      <c r="F1479">
        <v>0</v>
      </c>
    </row>
    <row r="1480" spans="6:6">
      <c r="F1480">
        <v>0</v>
      </c>
    </row>
    <row r="1481" spans="6:6">
      <c r="F1481">
        <v>0</v>
      </c>
    </row>
    <row r="1482" spans="6:6">
      <c r="F1482">
        <v>0</v>
      </c>
    </row>
    <row r="1483" spans="6:6">
      <c r="F1483">
        <v>0</v>
      </c>
    </row>
    <row r="1484" spans="6:6">
      <c r="F1484">
        <v>0</v>
      </c>
    </row>
    <row r="1485" spans="6:6">
      <c r="F1485">
        <v>0</v>
      </c>
    </row>
    <row r="1486" spans="6:6">
      <c r="F1486">
        <v>0</v>
      </c>
    </row>
    <row r="1487" spans="6:6">
      <c r="F1487">
        <v>0</v>
      </c>
    </row>
    <row r="1488" spans="6:6">
      <c r="F1488">
        <v>0</v>
      </c>
    </row>
    <row r="1489" spans="6:6">
      <c r="F1489">
        <v>0</v>
      </c>
    </row>
    <row r="1490" spans="6:6">
      <c r="F1490">
        <v>0</v>
      </c>
    </row>
    <row r="1491" spans="6:6">
      <c r="F1491">
        <v>0</v>
      </c>
    </row>
    <row r="1492" spans="6:6">
      <c r="F1492">
        <v>0</v>
      </c>
    </row>
    <row r="1493" spans="6:6">
      <c r="F1493">
        <v>0</v>
      </c>
    </row>
    <row r="1494" spans="6:6">
      <c r="F1494">
        <v>0</v>
      </c>
    </row>
    <row r="1495" spans="6:6">
      <c r="F1495">
        <v>0</v>
      </c>
    </row>
    <row r="1496" spans="6:6">
      <c r="F1496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556B92ACB9844A76DEB597963F9F2" ma:contentTypeVersion="15" ma:contentTypeDescription="Create a new document." ma:contentTypeScope="" ma:versionID="0bcb4b9956712ce250977952b7e26e35">
  <xsd:schema xmlns:xsd="http://www.w3.org/2001/XMLSchema" xmlns:xs="http://www.w3.org/2001/XMLSchema" xmlns:p="http://schemas.microsoft.com/office/2006/metadata/properties" xmlns:ns2="cec28a17-53a4-48b6-b814-e0a9d37d47ec" xmlns:ns3="1ce1e0d9-1693-40c4-8331-c469cd1b3214" targetNamespace="http://schemas.microsoft.com/office/2006/metadata/properties" ma:root="true" ma:fieldsID="ec5393ed75543705f0ec68cbafe927d4" ns2:_="" ns3:_="">
    <xsd:import namespace="cec28a17-53a4-48b6-b814-e0a9d37d47ec"/>
    <xsd:import namespace="1ce1e0d9-1693-40c4-8331-c469cd1b3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28a17-53a4-48b6-b814-e0a9d37d4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1e0d9-1693-40c4-8331-c469cd1b3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5961d89-ca7d-46b2-9e7b-f2eec72cadd6}" ma:internalName="TaxCatchAll" ma:showField="CatchAllData" ma:web="1ce1e0d9-1693-40c4-8331-c469cd1b32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e1e0d9-1693-40c4-8331-c469cd1b3214" xsi:nil="true"/>
    <lcf76f155ced4ddcb4097134ff3c332f xmlns="cec28a17-53a4-48b6-b814-e0a9d37d47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766494-CA25-4768-8C4E-F958B57D9F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F2FC85-7FB6-4DD0-957B-155818230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28a17-53a4-48b6-b814-e0a9d37d47ec"/>
    <ds:schemaRef ds:uri="1ce1e0d9-1693-40c4-8331-c469cd1b3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2762DB-3BC2-4133-B063-D705E7D7CA4A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cec28a17-53a4-48b6-b814-e0a9d37d47ec"/>
    <ds:schemaRef ds:uri="http://www.w3.org/XML/1998/namespace"/>
    <ds:schemaRef ds:uri="1ce1e0d9-1693-40c4-8331-c469cd1b32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1. Domínio Institucional</vt:lpstr>
      <vt:lpstr>1.1</vt:lpstr>
      <vt:lpstr>1.2</vt:lpstr>
      <vt:lpstr>1.3</vt:lpstr>
      <vt:lpstr>1.4</vt:lpstr>
      <vt:lpstr>1.5</vt:lpstr>
      <vt:lpstr>Lista de atividades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Machado</dc:creator>
  <cp:keywords/>
  <dc:description/>
  <cp:lastModifiedBy>Marcos Freitas</cp:lastModifiedBy>
  <cp:revision/>
  <dcterms:created xsi:type="dcterms:W3CDTF">2025-10-23T13:27:50Z</dcterms:created>
  <dcterms:modified xsi:type="dcterms:W3CDTF">2025-11-12T15:11:03Z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0x010100136556B92ACB9844A76DEB597963F9F2</vt:lpwstr>
  </property>
  <property fmtid="{D5CDD505-2E9C-101B-9397-08002B2CF9AE}" pid="3" name="MediaServiceImageTags">
    <vt:lpwstr/>
  </property>
</Properties>
</file>